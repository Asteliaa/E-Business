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ИИТ\ЭлектронныйБизнес\ЛР6_ЦП_Канвас_сценарии_релизы\Excel\"/>
    </mc:Choice>
  </mc:AlternateContent>
  <xr:revisionPtr revIDLastSave="0" documentId="13_ncr:1_{5FE6FD6A-00C0-4A48-B1FF-7EEB1FF01C6C}" xr6:coauthVersionLast="47" xr6:coauthVersionMax="47" xr10:uidLastSave="{00000000-0000-0000-0000-000000000000}"/>
  <bookViews>
    <workbookView xWindow="3008" yWindow="458" windowWidth="12022" windowHeight="10972" xr2:uid="{00000000-000D-0000-FFFF-FFFF00000000}"/>
  </bookViews>
  <sheets>
    <sheet name="Инструкция" sheetId="1" r:id="rId1"/>
    <sheet name="Банк_выводов" sheetId="2" r:id="rId2"/>
    <sheet name="Роли_и_сегменты" sheetId="3" r:id="rId3"/>
    <sheet name="Пользовательские_сценарии" sheetId="4" r:id="rId4"/>
    <sheet name="Страницы_и_экраны" sheetId="5" r:id="rId5"/>
    <sheet name="Матрица_сценарий_интерфейс" sheetId="6" r:id="rId6"/>
    <sheet name="Навигация_и_карта" sheetId="7" r:id="rId7"/>
    <sheet name="Состояния_и_ошибки" sheetId="8" r:id="rId8"/>
    <sheet name="Контент_и_данные" sheetId="9" r:id="rId9"/>
    <sheet name="Паспорт_экрана" sheetId="10" r:id="rId10"/>
    <sheet name="Приоритизация" sheetId="11" r:id="rId11"/>
    <sheet name="Проверка_связности" sheetId="12" r:id="rId12"/>
    <sheet name="Дашборд" sheetId="13" r:id="rId13"/>
    <sheet name="Справочники" sheetId="14" r:id="rId14"/>
    <sheet name="Журнал_6_4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13" l="1"/>
  <c r="B5" i="13"/>
  <c r="D11" i="12"/>
  <c r="E11" i="12" s="1"/>
  <c r="D10" i="12"/>
  <c r="E10" i="12" s="1"/>
  <c r="D8" i="12"/>
  <c r="E8" i="12" s="1"/>
  <c r="D6" i="12"/>
  <c r="E6" i="12" s="1"/>
  <c r="J304" i="11"/>
  <c r="I304" i="11"/>
  <c r="J303" i="11"/>
  <c r="I303" i="11"/>
  <c r="J302" i="11"/>
  <c r="I302" i="11"/>
  <c r="J301" i="11"/>
  <c r="I301" i="11"/>
  <c r="J300" i="11"/>
  <c r="I300" i="11"/>
  <c r="J299" i="11"/>
  <c r="I299" i="11"/>
  <c r="J298" i="11"/>
  <c r="I298" i="11"/>
  <c r="J297" i="11"/>
  <c r="I297" i="11"/>
  <c r="J296" i="11"/>
  <c r="I296" i="11"/>
  <c r="J295" i="11"/>
  <c r="I295" i="11"/>
  <c r="J294" i="11"/>
  <c r="I294" i="11"/>
  <c r="J293" i="11"/>
  <c r="I293" i="11"/>
  <c r="J292" i="11"/>
  <c r="I292" i="11"/>
  <c r="J291" i="11"/>
  <c r="I291" i="11"/>
  <c r="J290" i="11"/>
  <c r="I290" i="11"/>
  <c r="J289" i="11"/>
  <c r="I289" i="11"/>
  <c r="J288" i="11"/>
  <c r="I288" i="11"/>
  <c r="J287" i="11"/>
  <c r="I287" i="11"/>
  <c r="J286" i="11"/>
  <c r="I286" i="11"/>
  <c r="J285" i="11"/>
  <c r="I285" i="11"/>
  <c r="J284" i="11"/>
  <c r="I284" i="11"/>
  <c r="J283" i="11"/>
  <c r="I283" i="11"/>
  <c r="J282" i="11"/>
  <c r="I282" i="11"/>
  <c r="J281" i="11"/>
  <c r="I281" i="11"/>
  <c r="J280" i="11"/>
  <c r="I280" i="11"/>
  <c r="J279" i="11"/>
  <c r="I279" i="11"/>
  <c r="J278" i="11"/>
  <c r="I278" i="11"/>
  <c r="J277" i="11"/>
  <c r="I277" i="11"/>
  <c r="J276" i="11"/>
  <c r="I276" i="11"/>
  <c r="J275" i="11"/>
  <c r="I275" i="11"/>
  <c r="J274" i="11"/>
  <c r="I274" i="11"/>
  <c r="J273" i="11"/>
  <c r="I273" i="11"/>
  <c r="J272" i="11"/>
  <c r="I272" i="11"/>
  <c r="J271" i="11"/>
  <c r="I271" i="11"/>
  <c r="J270" i="11"/>
  <c r="I270" i="11"/>
  <c r="J269" i="11"/>
  <c r="I269" i="11"/>
  <c r="J268" i="11"/>
  <c r="I268" i="11"/>
  <c r="J267" i="11"/>
  <c r="I267" i="11"/>
  <c r="J266" i="11"/>
  <c r="I266" i="11"/>
  <c r="J265" i="11"/>
  <c r="I265" i="11"/>
  <c r="J264" i="11"/>
  <c r="I264" i="11"/>
  <c r="J263" i="11"/>
  <c r="I263" i="11"/>
  <c r="J262" i="11"/>
  <c r="I262" i="11"/>
  <c r="J261" i="11"/>
  <c r="I261" i="11"/>
  <c r="J260" i="11"/>
  <c r="I260" i="11"/>
  <c r="J259" i="11"/>
  <c r="I259" i="11"/>
  <c r="J258" i="11"/>
  <c r="I258" i="11"/>
  <c r="J257" i="11"/>
  <c r="I257" i="11"/>
  <c r="J256" i="11"/>
  <c r="I256" i="11"/>
  <c r="J255" i="11"/>
  <c r="I255" i="11"/>
  <c r="J254" i="11"/>
  <c r="I254" i="11"/>
  <c r="J253" i="11"/>
  <c r="I253" i="11"/>
  <c r="J252" i="11"/>
  <c r="I252" i="11"/>
  <c r="J251" i="11"/>
  <c r="I251" i="11"/>
  <c r="J250" i="11"/>
  <c r="I250" i="11"/>
  <c r="J249" i="11"/>
  <c r="I249" i="11"/>
  <c r="J248" i="11"/>
  <c r="I248" i="11"/>
  <c r="J247" i="11"/>
  <c r="I247" i="11"/>
  <c r="J246" i="11"/>
  <c r="I246" i="11"/>
  <c r="J245" i="11"/>
  <c r="I245" i="11"/>
  <c r="J244" i="11"/>
  <c r="I244" i="11"/>
  <c r="J243" i="11"/>
  <c r="I243" i="11"/>
  <c r="J242" i="11"/>
  <c r="I242" i="11"/>
  <c r="J241" i="11"/>
  <c r="I241" i="11"/>
  <c r="J240" i="11"/>
  <c r="I240" i="11"/>
  <c r="J239" i="11"/>
  <c r="I239" i="11"/>
  <c r="J238" i="11"/>
  <c r="I238" i="11"/>
  <c r="J237" i="11"/>
  <c r="I237" i="11"/>
  <c r="J236" i="11"/>
  <c r="I236" i="11"/>
  <c r="J235" i="11"/>
  <c r="I235" i="11"/>
  <c r="J234" i="11"/>
  <c r="I234" i="11"/>
  <c r="J233" i="11"/>
  <c r="I233" i="11"/>
  <c r="J232" i="11"/>
  <c r="I232" i="11"/>
  <c r="J231" i="11"/>
  <c r="I231" i="11"/>
  <c r="J230" i="11"/>
  <c r="I230" i="11"/>
  <c r="J229" i="11"/>
  <c r="I229" i="11"/>
  <c r="J228" i="11"/>
  <c r="I228" i="11"/>
  <c r="J227" i="11"/>
  <c r="I227" i="11"/>
  <c r="J226" i="11"/>
  <c r="I226" i="11"/>
  <c r="J225" i="11"/>
  <c r="I225" i="11"/>
  <c r="J224" i="11"/>
  <c r="I224" i="11"/>
  <c r="J223" i="11"/>
  <c r="I223" i="11"/>
  <c r="J222" i="11"/>
  <c r="I222" i="11"/>
  <c r="J221" i="11"/>
  <c r="I221" i="11"/>
  <c r="J220" i="11"/>
  <c r="I220" i="11"/>
  <c r="J219" i="11"/>
  <c r="I219" i="11"/>
  <c r="J218" i="11"/>
  <c r="I218" i="11"/>
  <c r="J217" i="11"/>
  <c r="I217" i="11"/>
  <c r="J216" i="11"/>
  <c r="I216" i="11"/>
  <c r="J215" i="11"/>
  <c r="I215" i="11"/>
  <c r="J214" i="11"/>
  <c r="I214" i="11"/>
  <c r="J213" i="11"/>
  <c r="I213" i="11"/>
  <c r="J212" i="11"/>
  <c r="I212" i="11"/>
  <c r="J211" i="11"/>
  <c r="I211" i="11"/>
  <c r="J210" i="11"/>
  <c r="I210" i="11"/>
  <c r="J209" i="11"/>
  <c r="I209" i="11"/>
  <c r="J208" i="11"/>
  <c r="I208" i="11"/>
  <c r="J207" i="11"/>
  <c r="I207" i="11"/>
  <c r="J206" i="11"/>
  <c r="I206" i="11"/>
  <c r="J205" i="11"/>
  <c r="I205" i="11"/>
  <c r="J204" i="11"/>
  <c r="I204" i="11"/>
  <c r="J203" i="11"/>
  <c r="I203" i="11"/>
  <c r="J202" i="11"/>
  <c r="I202" i="11"/>
  <c r="J201" i="11"/>
  <c r="I201" i="11"/>
  <c r="J200" i="11"/>
  <c r="I200" i="11"/>
  <c r="J199" i="11"/>
  <c r="I199" i="11"/>
  <c r="J198" i="11"/>
  <c r="I198" i="11"/>
  <c r="J197" i="11"/>
  <c r="I197" i="11"/>
  <c r="J196" i="11"/>
  <c r="I196" i="11"/>
  <c r="J195" i="11"/>
  <c r="I195" i="11"/>
  <c r="J194" i="11"/>
  <c r="I194" i="11"/>
  <c r="J193" i="11"/>
  <c r="I193" i="11"/>
  <c r="J192" i="11"/>
  <c r="I192" i="11"/>
  <c r="J191" i="11"/>
  <c r="I191" i="11"/>
  <c r="J190" i="11"/>
  <c r="I190" i="11"/>
  <c r="J189" i="11"/>
  <c r="I189" i="11"/>
  <c r="J188" i="11"/>
  <c r="I188" i="11"/>
  <c r="J187" i="11"/>
  <c r="I187" i="11"/>
  <c r="J186" i="11"/>
  <c r="I186" i="11"/>
  <c r="J185" i="11"/>
  <c r="I185" i="11"/>
  <c r="J184" i="11"/>
  <c r="I184" i="11"/>
  <c r="J183" i="11"/>
  <c r="I183" i="11"/>
  <c r="J182" i="11"/>
  <c r="I182" i="11"/>
  <c r="J181" i="11"/>
  <c r="I181" i="11"/>
  <c r="J180" i="11"/>
  <c r="I180" i="11"/>
  <c r="J179" i="11"/>
  <c r="I179" i="11"/>
  <c r="J178" i="11"/>
  <c r="I178" i="11"/>
  <c r="J177" i="11"/>
  <c r="I177" i="11"/>
  <c r="J176" i="11"/>
  <c r="I176" i="11"/>
  <c r="J175" i="11"/>
  <c r="I175" i="11"/>
  <c r="J174" i="11"/>
  <c r="I174" i="11"/>
  <c r="J173" i="11"/>
  <c r="I173" i="11"/>
  <c r="J172" i="11"/>
  <c r="I172" i="11"/>
  <c r="J171" i="11"/>
  <c r="I171" i="11"/>
  <c r="J170" i="11"/>
  <c r="I170" i="11"/>
  <c r="J169" i="11"/>
  <c r="I169" i="11"/>
  <c r="J168" i="11"/>
  <c r="I168" i="11"/>
  <c r="J167" i="11"/>
  <c r="I167" i="11"/>
  <c r="J166" i="11"/>
  <c r="I166" i="11"/>
  <c r="J165" i="11"/>
  <c r="I165" i="11"/>
  <c r="J164" i="11"/>
  <c r="I164" i="11"/>
  <c r="J163" i="11"/>
  <c r="I163" i="11"/>
  <c r="J162" i="11"/>
  <c r="I162" i="11"/>
  <c r="J161" i="11"/>
  <c r="I161" i="11"/>
  <c r="J160" i="11"/>
  <c r="I160" i="11"/>
  <c r="J159" i="11"/>
  <c r="I159" i="11"/>
  <c r="J158" i="11"/>
  <c r="I158" i="11"/>
  <c r="J157" i="11"/>
  <c r="I157" i="11"/>
  <c r="J156" i="11"/>
  <c r="I156" i="11"/>
  <c r="J155" i="11"/>
  <c r="I155" i="11"/>
  <c r="J154" i="11"/>
  <c r="I154" i="11"/>
  <c r="J153" i="11"/>
  <c r="I153" i="11"/>
  <c r="J152" i="11"/>
  <c r="I152" i="11"/>
  <c r="J151" i="11"/>
  <c r="I151" i="11"/>
  <c r="J150" i="11"/>
  <c r="I150" i="11"/>
  <c r="J149" i="11"/>
  <c r="I149" i="11"/>
  <c r="J148" i="11"/>
  <c r="I148" i="11"/>
  <c r="J147" i="11"/>
  <c r="I147" i="11"/>
  <c r="J146" i="11"/>
  <c r="I146" i="11"/>
  <c r="J145" i="11"/>
  <c r="I145" i="11"/>
  <c r="J144" i="11"/>
  <c r="I144" i="11"/>
  <c r="J143" i="11"/>
  <c r="I143" i="11"/>
  <c r="J142" i="11"/>
  <c r="I142" i="11"/>
  <c r="J141" i="11"/>
  <c r="I141" i="11"/>
  <c r="J140" i="11"/>
  <c r="I140" i="11"/>
  <c r="J139" i="11"/>
  <c r="I139" i="11"/>
  <c r="J138" i="11"/>
  <c r="I138" i="11"/>
  <c r="J137" i="11"/>
  <c r="I137" i="11"/>
  <c r="J136" i="11"/>
  <c r="I136" i="11"/>
  <c r="J135" i="11"/>
  <c r="I135" i="11"/>
  <c r="J134" i="11"/>
  <c r="I134" i="11"/>
  <c r="J133" i="11"/>
  <c r="I133" i="11"/>
  <c r="J132" i="11"/>
  <c r="I132" i="11"/>
  <c r="J131" i="11"/>
  <c r="I131" i="11"/>
  <c r="J130" i="11"/>
  <c r="I130" i="11"/>
  <c r="J129" i="11"/>
  <c r="I129" i="11"/>
  <c r="J128" i="11"/>
  <c r="I128" i="11"/>
  <c r="J127" i="11"/>
  <c r="I127" i="11"/>
  <c r="J126" i="11"/>
  <c r="I126" i="11"/>
  <c r="J125" i="11"/>
  <c r="I125" i="11"/>
  <c r="J124" i="11"/>
  <c r="I124" i="11"/>
  <c r="J123" i="11"/>
  <c r="I123" i="11"/>
  <c r="J122" i="11"/>
  <c r="I122" i="11"/>
  <c r="J121" i="11"/>
  <c r="I121" i="11"/>
  <c r="J120" i="11"/>
  <c r="I120" i="11"/>
  <c r="J119" i="11"/>
  <c r="I119" i="11"/>
  <c r="J118" i="11"/>
  <c r="I118" i="11"/>
  <c r="J117" i="11"/>
  <c r="I117" i="11"/>
  <c r="J116" i="11"/>
  <c r="I116" i="11"/>
  <c r="J115" i="11"/>
  <c r="I115" i="11"/>
  <c r="J114" i="11"/>
  <c r="I114" i="11"/>
  <c r="J113" i="11"/>
  <c r="I113" i="11"/>
  <c r="J112" i="11"/>
  <c r="I112" i="11"/>
  <c r="J111" i="11"/>
  <c r="I111" i="11"/>
  <c r="J110" i="11"/>
  <c r="I110" i="11"/>
  <c r="J109" i="11"/>
  <c r="I109" i="11"/>
  <c r="J108" i="11"/>
  <c r="I108" i="11"/>
  <c r="J107" i="11"/>
  <c r="I107" i="11"/>
  <c r="J106" i="11"/>
  <c r="I106" i="11"/>
  <c r="J105" i="11"/>
  <c r="I105" i="11"/>
  <c r="J104" i="11"/>
  <c r="I104" i="11"/>
  <c r="J103" i="11"/>
  <c r="I103" i="11"/>
  <c r="J102" i="11"/>
  <c r="I102" i="11"/>
  <c r="J101" i="11"/>
  <c r="I101" i="11"/>
  <c r="J100" i="11"/>
  <c r="I100" i="11"/>
  <c r="J99" i="11"/>
  <c r="I99" i="11"/>
  <c r="J98" i="11"/>
  <c r="I98" i="11"/>
  <c r="J97" i="11"/>
  <c r="I97" i="11"/>
  <c r="J96" i="11"/>
  <c r="I96" i="11"/>
  <c r="J95" i="11"/>
  <c r="I95" i="11"/>
  <c r="J94" i="11"/>
  <c r="I94" i="11"/>
  <c r="J93" i="11"/>
  <c r="I93" i="11"/>
  <c r="J92" i="11"/>
  <c r="I92" i="11"/>
  <c r="J91" i="11"/>
  <c r="I91" i="11"/>
  <c r="J90" i="11"/>
  <c r="I90" i="11"/>
  <c r="J89" i="11"/>
  <c r="I89" i="11"/>
  <c r="J88" i="11"/>
  <c r="I88" i="11"/>
  <c r="J87" i="11"/>
  <c r="I87" i="11"/>
  <c r="J86" i="11"/>
  <c r="I86" i="11"/>
  <c r="J85" i="11"/>
  <c r="I85" i="11"/>
  <c r="J84" i="11"/>
  <c r="I84" i="11"/>
  <c r="J83" i="11"/>
  <c r="I83" i="11"/>
  <c r="J82" i="11"/>
  <c r="I82" i="11"/>
  <c r="J81" i="11"/>
  <c r="I81" i="11"/>
  <c r="J80" i="11"/>
  <c r="I80" i="11"/>
  <c r="J79" i="11"/>
  <c r="I79" i="11"/>
  <c r="J78" i="11"/>
  <c r="I78" i="11"/>
  <c r="J77" i="11"/>
  <c r="I77" i="11"/>
  <c r="J76" i="11"/>
  <c r="I76" i="11"/>
  <c r="J75" i="11"/>
  <c r="I75" i="11"/>
  <c r="J74" i="11"/>
  <c r="I74" i="11"/>
  <c r="J73" i="11"/>
  <c r="I73" i="11"/>
  <c r="J72" i="11"/>
  <c r="I72" i="11"/>
  <c r="J71" i="11"/>
  <c r="I71" i="11"/>
  <c r="J70" i="11"/>
  <c r="I70" i="11"/>
  <c r="J69" i="11"/>
  <c r="I69" i="11"/>
  <c r="J68" i="11"/>
  <c r="I68" i="11"/>
  <c r="J67" i="11"/>
  <c r="I67" i="11"/>
  <c r="J66" i="11"/>
  <c r="I66" i="11"/>
  <c r="J65" i="11"/>
  <c r="I65" i="11"/>
  <c r="J64" i="11"/>
  <c r="I64" i="11"/>
  <c r="J63" i="11"/>
  <c r="I63" i="11"/>
  <c r="J62" i="11"/>
  <c r="I62" i="11"/>
  <c r="J61" i="11"/>
  <c r="I61" i="11"/>
  <c r="J60" i="11"/>
  <c r="I60" i="11"/>
  <c r="J59" i="11"/>
  <c r="I59" i="11"/>
  <c r="J58" i="11"/>
  <c r="I58" i="11"/>
  <c r="J57" i="11"/>
  <c r="I57" i="11"/>
  <c r="J56" i="11"/>
  <c r="I56" i="11"/>
  <c r="J55" i="11"/>
  <c r="I55" i="11"/>
  <c r="J54" i="11"/>
  <c r="I54" i="11"/>
  <c r="J53" i="11"/>
  <c r="I53" i="11"/>
  <c r="J52" i="11"/>
  <c r="I52" i="11"/>
  <c r="J51" i="11"/>
  <c r="I51" i="11"/>
  <c r="J50" i="11"/>
  <c r="I50" i="11"/>
  <c r="J49" i="11"/>
  <c r="I49" i="11"/>
  <c r="J48" i="11"/>
  <c r="I48" i="11"/>
  <c r="J47" i="11"/>
  <c r="I47" i="11"/>
  <c r="J46" i="11"/>
  <c r="I46" i="11"/>
  <c r="J45" i="11"/>
  <c r="I45" i="11"/>
  <c r="J44" i="11"/>
  <c r="I44" i="11"/>
  <c r="J43" i="11"/>
  <c r="I43" i="11"/>
  <c r="J42" i="11"/>
  <c r="I42" i="11"/>
  <c r="J41" i="11"/>
  <c r="I41" i="11"/>
  <c r="J40" i="11"/>
  <c r="I40" i="11"/>
  <c r="J39" i="11"/>
  <c r="I39" i="11"/>
  <c r="J38" i="11"/>
  <c r="I38" i="11"/>
  <c r="J37" i="11"/>
  <c r="I37" i="11"/>
  <c r="J36" i="11"/>
  <c r="I36" i="11"/>
  <c r="J35" i="11"/>
  <c r="I35" i="11"/>
  <c r="J34" i="11"/>
  <c r="I34" i="11"/>
  <c r="J33" i="11"/>
  <c r="I33" i="11"/>
  <c r="J32" i="11"/>
  <c r="I32" i="11"/>
  <c r="J31" i="11"/>
  <c r="I31" i="11"/>
  <c r="J30" i="11"/>
  <c r="I30" i="11"/>
  <c r="J29" i="11"/>
  <c r="I29" i="11"/>
  <c r="J28" i="11"/>
  <c r="I28" i="11"/>
  <c r="J27" i="11"/>
  <c r="I27" i="11"/>
  <c r="J26" i="11"/>
  <c r="I26" i="11"/>
  <c r="J25" i="11"/>
  <c r="I25" i="11"/>
  <c r="J24" i="11"/>
  <c r="I24" i="11"/>
  <c r="J23" i="11"/>
  <c r="I23" i="11"/>
  <c r="J22" i="11"/>
  <c r="I22" i="11"/>
  <c r="J21" i="11"/>
  <c r="I21" i="11"/>
  <c r="J20" i="11"/>
  <c r="I20" i="11"/>
  <c r="J19" i="11"/>
  <c r="I19" i="11"/>
  <c r="J18" i="11"/>
  <c r="I18" i="11"/>
  <c r="I17" i="11"/>
  <c r="J17" i="11" s="1"/>
  <c r="I16" i="11"/>
  <c r="J16" i="11" s="1"/>
  <c r="I15" i="11"/>
  <c r="J15" i="11" s="1"/>
  <c r="I14" i="11"/>
  <c r="J14" i="11" s="1"/>
  <c r="I13" i="11"/>
  <c r="J13" i="11" s="1"/>
  <c r="I12" i="11"/>
  <c r="J12" i="11" s="1"/>
  <c r="I11" i="11"/>
  <c r="J11" i="11" s="1"/>
  <c r="I10" i="11"/>
  <c r="J10" i="11" s="1"/>
  <c r="I9" i="11"/>
  <c r="J9" i="11" s="1"/>
  <c r="I8" i="11"/>
  <c r="J8" i="11" s="1"/>
  <c r="I7" i="11"/>
  <c r="J7" i="11" s="1"/>
  <c r="I6" i="11"/>
  <c r="J6" i="11" s="1"/>
  <c r="I5" i="11"/>
  <c r="J5" i="11" s="1"/>
  <c r="O304" i="10"/>
  <c r="N304" i="10"/>
  <c r="O303" i="10"/>
  <c r="N303" i="10"/>
  <c r="O302" i="10"/>
  <c r="N302" i="10"/>
  <c r="O301" i="10"/>
  <c r="N301" i="10"/>
  <c r="O300" i="10"/>
  <c r="N300" i="10"/>
  <c r="O299" i="10"/>
  <c r="N299" i="10"/>
  <c r="O298" i="10"/>
  <c r="N298" i="10"/>
  <c r="O297" i="10"/>
  <c r="N297" i="10"/>
  <c r="O296" i="10"/>
  <c r="N296" i="10"/>
  <c r="O295" i="10"/>
  <c r="N295" i="10"/>
  <c r="O294" i="10"/>
  <c r="N294" i="10"/>
  <c r="O293" i="10"/>
  <c r="N293" i="10"/>
  <c r="O292" i="10"/>
  <c r="N292" i="10"/>
  <c r="O291" i="10"/>
  <c r="N291" i="10"/>
  <c r="O290" i="10"/>
  <c r="N290" i="10"/>
  <c r="O289" i="10"/>
  <c r="N289" i="10"/>
  <c r="O288" i="10"/>
  <c r="N288" i="10"/>
  <c r="O287" i="10"/>
  <c r="N287" i="10"/>
  <c r="O286" i="10"/>
  <c r="N286" i="10"/>
  <c r="O285" i="10"/>
  <c r="N285" i="10"/>
  <c r="O284" i="10"/>
  <c r="N284" i="10"/>
  <c r="O283" i="10"/>
  <c r="N283" i="10"/>
  <c r="O282" i="10"/>
  <c r="N282" i="10"/>
  <c r="O281" i="10"/>
  <c r="N281" i="10"/>
  <c r="O280" i="10"/>
  <c r="N280" i="10"/>
  <c r="O279" i="10"/>
  <c r="N279" i="10"/>
  <c r="O278" i="10"/>
  <c r="N278" i="10"/>
  <c r="O277" i="10"/>
  <c r="N277" i="10"/>
  <c r="O276" i="10"/>
  <c r="N276" i="10"/>
  <c r="O275" i="10"/>
  <c r="N275" i="10"/>
  <c r="O274" i="10"/>
  <c r="N274" i="10"/>
  <c r="O273" i="10"/>
  <c r="N273" i="10"/>
  <c r="O272" i="10"/>
  <c r="N272" i="10"/>
  <c r="O271" i="10"/>
  <c r="N271" i="10"/>
  <c r="O270" i="10"/>
  <c r="N270" i="10"/>
  <c r="O269" i="10"/>
  <c r="N269" i="10"/>
  <c r="O268" i="10"/>
  <c r="N268" i="10"/>
  <c r="O267" i="10"/>
  <c r="N267" i="10"/>
  <c r="O266" i="10"/>
  <c r="N266" i="10"/>
  <c r="O265" i="10"/>
  <c r="N265" i="10"/>
  <c r="O264" i="10"/>
  <c r="N264" i="10"/>
  <c r="O263" i="10"/>
  <c r="N263" i="10"/>
  <c r="O262" i="10"/>
  <c r="N262" i="10"/>
  <c r="O261" i="10"/>
  <c r="N261" i="10"/>
  <c r="O260" i="10"/>
  <c r="N260" i="10"/>
  <c r="O259" i="10"/>
  <c r="N259" i="10"/>
  <c r="O258" i="10"/>
  <c r="N258" i="10"/>
  <c r="O257" i="10"/>
  <c r="N257" i="10"/>
  <c r="O256" i="10"/>
  <c r="N256" i="10"/>
  <c r="O255" i="10"/>
  <c r="N255" i="10"/>
  <c r="O254" i="10"/>
  <c r="N254" i="10"/>
  <c r="O253" i="10"/>
  <c r="N253" i="10"/>
  <c r="O252" i="10"/>
  <c r="N252" i="10"/>
  <c r="O251" i="10"/>
  <c r="N251" i="10"/>
  <c r="O250" i="10"/>
  <c r="N250" i="10"/>
  <c r="O249" i="10"/>
  <c r="N249" i="10"/>
  <c r="O248" i="10"/>
  <c r="N248" i="10"/>
  <c r="O247" i="10"/>
  <c r="N247" i="10"/>
  <c r="O246" i="10"/>
  <c r="N246" i="10"/>
  <c r="O245" i="10"/>
  <c r="N245" i="10"/>
  <c r="O244" i="10"/>
  <c r="N244" i="10"/>
  <c r="O243" i="10"/>
  <c r="N243" i="10"/>
  <c r="O242" i="10"/>
  <c r="N242" i="10"/>
  <c r="O241" i="10"/>
  <c r="N241" i="10"/>
  <c r="O240" i="10"/>
  <c r="N240" i="10"/>
  <c r="O239" i="10"/>
  <c r="N239" i="10"/>
  <c r="O238" i="10"/>
  <c r="N238" i="10"/>
  <c r="O237" i="10"/>
  <c r="N237" i="10"/>
  <c r="O236" i="10"/>
  <c r="N236" i="10"/>
  <c r="O235" i="10"/>
  <c r="N235" i="10"/>
  <c r="O234" i="10"/>
  <c r="N234" i="10"/>
  <c r="O233" i="10"/>
  <c r="N233" i="10"/>
  <c r="O232" i="10"/>
  <c r="N232" i="10"/>
  <c r="O231" i="10"/>
  <c r="N231" i="10"/>
  <c r="O230" i="10"/>
  <c r="N230" i="10"/>
  <c r="O229" i="10"/>
  <c r="N229" i="10"/>
  <c r="O228" i="10"/>
  <c r="N228" i="10"/>
  <c r="O227" i="10"/>
  <c r="N227" i="10"/>
  <c r="O226" i="10"/>
  <c r="N226" i="10"/>
  <c r="O225" i="10"/>
  <c r="N225" i="10"/>
  <c r="O224" i="10"/>
  <c r="N224" i="10"/>
  <c r="O223" i="10"/>
  <c r="N223" i="10"/>
  <c r="O222" i="10"/>
  <c r="N222" i="10"/>
  <c r="O221" i="10"/>
  <c r="N221" i="10"/>
  <c r="O220" i="10"/>
  <c r="N220" i="10"/>
  <c r="O219" i="10"/>
  <c r="N219" i="10"/>
  <c r="O218" i="10"/>
  <c r="N218" i="10"/>
  <c r="O217" i="10"/>
  <c r="N217" i="10"/>
  <c r="O216" i="10"/>
  <c r="N216" i="10"/>
  <c r="O215" i="10"/>
  <c r="N215" i="10"/>
  <c r="O214" i="10"/>
  <c r="N214" i="10"/>
  <c r="O213" i="10"/>
  <c r="N213" i="10"/>
  <c r="O212" i="10"/>
  <c r="N212" i="10"/>
  <c r="O211" i="10"/>
  <c r="N211" i="10"/>
  <c r="O210" i="10"/>
  <c r="N210" i="10"/>
  <c r="O209" i="10"/>
  <c r="N209" i="10"/>
  <c r="O208" i="10"/>
  <c r="N208" i="10"/>
  <c r="O207" i="10"/>
  <c r="N207" i="10"/>
  <c r="O206" i="10"/>
  <c r="N206" i="10"/>
  <c r="O205" i="10"/>
  <c r="N205" i="10"/>
  <c r="O204" i="10"/>
  <c r="N204" i="10"/>
  <c r="O203" i="10"/>
  <c r="N203" i="10"/>
  <c r="O202" i="10"/>
  <c r="N202" i="10"/>
  <c r="O201" i="10"/>
  <c r="N201" i="10"/>
  <c r="O200" i="10"/>
  <c r="N200" i="10"/>
  <c r="O199" i="10"/>
  <c r="N199" i="10"/>
  <c r="O198" i="10"/>
  <c r="N198" i="10"/>
  <c r="O197" i="10"/>
  <c r="N197" i="10"/>
  <c r="O196" i="10"/>
  <c r="N196" i="10"/>
  <c r="O195" i="10"/>
  <c r="N195" i="10"/>
  <c r="O194" i="10"/>
  <c r="N194" i="10"/>
  <c r="O193" i="10"/>
  <c r="N193" i="10"/>
  <c r="O192" i="10"/>
  <c r="N192" i="10"/>
  <c r="O191" i="10"/>
  <c r="N191" i="10"/>
  <c r="O190" i="10"/>
  <c r="N190" i="10"/>
  <c r="O189" i="10"/>
  <c r="N189" i="10"/>
  <c r="O188" i="10"/>
  <c r="N188" i="10"/>
  <c r="O187" i="10"/>
  <c r="N187" i="10"/>
  <c r="O186" i="10"/>
  <c r="N186" i="10"/>
  <c r="O185" i="10"/>
  <c r="N185" i="10"/>
  <c r="O184" i="10"/>
  <c r="N184" i="10"/>
  <c r="O183" i="10"/>
  <c r="N183" i="10"/>
  <c r="O182" i="10"/>
  <c r="N182" i="10"/>
  <c r="O181" i="10"/>
  <c r="N181" i="10"/>
  <c r="O180" i="10"/>
  <c r="N180" i="10"/>
  <c r="O179" i="10"/>
  <c r="N179" i="10"/>
  <c r="O178" i="10"/>
  <c r="N178" i="10"/>
  <c r="O177" i="10"/>
  <c r="N177" i="10"/>
  <c r="O176" i="10"/>
  <c r="N176" i="10"/>
  <c r="O175" i="10"/>
  <c r="N175" i="10"/>
  <c r="O174" i="10"/>
  <c r="N174" i="10"/>
  <c r="O173" i="10"/>
  <c r="N173" i="10"/>
  <c r="O172" i="10"/>
  <c r="N172" i="10"/>
  <c r="O171" i="10"/>
  <c r="N171" i="10"/>
  <c r="O170" i="10"/>
  <c r="N170" i="10"/>
  <c r="O169" i="10"/>
  <c r="N169" i="10"/>
  <c r="O168" i="10"/>
  <c r="N168" i="10"/>
  <c r="O167" i="10"/>
  <c r="N167" i="10"/>
  <c r="O166" i="10"/>
  <c r="N166" i="10"/>
  <c r="O165" i="10"/>
  <c r="N165" i="10"/>
  <c r="O164" i="10"/>
  <c r="N164" i="10"/>
  <c r="O163" i="10"/>
  <c r="N163" i="10"/>
  <c r="O162" i="10"/>
  <c r="N162" i="10"/>
  <c r="O161" i="10"/>
  <c r="N161" i="10"/>
  <c r="O160" i="10"/>
  <c r="N160" i="10"/>
  <c r="O159" i="10"/>
  <c r="N159" i="10"/>
  <c r="O158" i="10"/>
  <c r="N158" i="10"/>
  <c r="O157" i="10"/>
  <c r="N157" i="10"/>
  <c r="O156" i="10"/>
  <c r="N156" i="10"/>
  <c r="O155" i="10"/>
  <c r="N155" i="10"/>
  <c r="O154" i="10"/>
  <c r="N154" i="10"/>
  <c r="O153" i="10"/>
  <c r="N153" i="10"/>
  <c r="O152" i="10"/>
  <c r="N152" i="10"/>
  <c r="O151" i="10"/>
  <c r="N151" i="10"/>
  <c r="O150" i="10"/>
  <c r="N150" i="10"/>
  <c r="O149" i="10"/>
  <c r="N149" i="10"/>
  <c r="O148" i="10"/>
  <c r="N148" i="10"/>
  <c r="O147" i="10"/>
  <c r="N147" i="10"/>
  <c r="O146" i="10"/>
  <c r="N146" i="10"/>
  <c r="O145" i="10"/>
  <c r="N145" i="10"/>
  <c r="O144" i="10"/>
  <c r="N144" i="10"/>
  <c r="O143" i="10"/>
  <c r="N143" i="10"/>
  <c r="O142" i="10"/>
  <c r="N142" i="10"/>
  <c r="O141" i="10"/>
  <c r="N141" i="10"/>
  <c r="O140" i="10"/>
  <c r="N140" i="10"/>
  <c r="O139" i="10"/>
  <c r="N139" i="10"/>
  <c r="O138" i="10"/>
  <c r="N138" i="10"/>
  <c r="O137" i="10"/>
  <c r="N137" i="10"/>
  <c r="O136" i="10"/>
  <c r="N136" i="10"/>
  <c r="O135" i="10"/>
  <c r="N135" i="10"/>
  <c r="O134" i="10"/>
  <c r="N134" i="10"/>
  <c r="O133" i="10"/>
  <c r="N133" i="10"/>
  <c r="O132" i="10"/>
  <c r="N132" i="10"/>
  <c r="O131" i="10"/>
  <c r="N131" i="10"/>
  <c r="O130" i="10"/>
  <c r="N130" i="10"/>
  <c r="O129" i="10"/>
  <c r="N129" i="10"/>
  <c r="O128" i="10"/>
  <c r="N128" i="10"/>
  <c r="O127" i="10"/>
  <c r="N127" i="10"/>
  <c r="O126" i="10"/>
  <c r="N126" i="10"/>
  <c r="O125" i="10"/>
  <c r="N125" i="10"/>
  <c r="O124" i="10"/>
  <c r="N124" i="10"/>
  <c r="O123" i="10"/>
  <c r="N123" i="10"/>
  <c r="O122" i="10"/>
  <c r="N122" i="10"/>
  <c r="O121" i="10"/>
  <c r="N121" i="10"/>
  <c r="O120" i="10"/>
  <c r="N120" i="10"/>
  <c r="O119" i="10"/>
  <c r="N119" i="10"/>
  <c r="O118" i="10"/>
  <c r="N118" i="10"/>
  <c r="O117" i="10"/>
  <c r="N117" i="10"/>
  <c r="O116" i="10"/>
  <c r="N116" i="10"/>
  <c r="O115" i="10"/>
  <c r="N115" i="10"/>
  <c r="O114" i="10"/>
  <c r="N114" i="10"/>
  <c r="O113" i="10"/>
  <c r="N113" i="10"/>
  <c r="O112" i="10"/>
  <c r="N112" i="10"/>
  <c r="O111" i="10"/>
  <c r="N111" i="10"/>
  <c r="O110" i="10"/>
  <c r="N110" i="10"/>
  <c r="O109" i="10"/>
  <c r="N109" i="10"/>
  <c r="O108" i="10"/>
  <c r="N108" i="10"/>
  <c r="O107" i="10"/>
  <c r="N107" i="10"/>
  <c r="O106" i="10"/>
  <c r="N106" i="10"/>
  <c r="O105" i="10"/>
  <c r="N105" i="10"/>
  <c r="O104" i="10"/>
  <c r="N104" i="10"/>
  <c r="O103" i="10"/>
  <c r="N103" i="10"/>
  <c r="O102" i="10"/>
  <c r="N102" i="10"/>
  <c r="O101" i="10"/>
  <c r="N101" i="10"/>
  <c r="O100" i="10"/>
  <c r="N100" i="10"/>
  <c r="O99" i="10"/>
  <c r="N99" i="10"/>
  <c r="O98" i="10"/>
  <c r="N98" i="10"/>
  <c r="O97" i="10"/>
  <c r="N97" i="10"/>
  <c r="O96" i="10"/>
  <c r="N96" i="10"/>
  <c r="O95" i="10"/>
  <c r="N95" i="10"/>
  <c r="O94" i="10"/>
  <c r="N94" i="10"/>
  <c r="O93" i="10"/>
  <c r="N93" i="10"/>
  <c r="O92" i="10"/>
  <c r="N92" i="10"/>
  <c r="O91" i="10"/>
  <c r="N91" i="10"/>
  <c r="O90" i="10"/>
  <c r="N90" i="10"/>
  <c r="O89" i="10"/>
  <c r="N89" i="10"/>
  <c r="O88" i="10"/>
  <c r="N88" i="10"/>
  <c r="O87" i="10"/>
  <c r="N87" i="10"/>
  <c r="O86" i="10"/>
  <c r="N86" i="10"/>
  <c r="O85" i="10"/>
  <c r="N85" i="10"/>
  <c r="O84" i="10"/>
  <c r="N84" i="10"/>
  <c r="O83" i="10"/>
  <c r="N83" i="10"/>
  <c r="O82" i="10"/>
  <c r="N82" i="10"/>
  <c r="O81" i="10"/>
  <c r="N81" i="10"/>
  <c r="O80" i="10"/>
  <c r="N80" i="10"/>
  <c r="O79" i="10"/>
  <c r="N79" i="10"/>
  <c r="O78" i="10"/>
  <c r="N78" i="10"/>
  <c r="O77" i="10"/>
  <c r="N77" i="10"/>
  <c r="O76" i="10"/>
  <c r="N76" i="10"/>
  <c r="O75" i="10"/>
  <c r="N75" i="10"/>
  <c r="O74" i="10"/>
  <c r="N74" i="10"/>
  <c r="O73" i="10"/>
  <c r="N73" i="10"/>
  <c r="O72" i="10"/>
  <c r="N72" i="10"/>
  <c r="O71" i="10"/>
  <c r="N71" i="10"/>
  <c r="O70" i="10"/>
  <c r="N70" i="10"/>
  <c r="O69" i="10"/>
  <c r="N69" i="10"/>
  <c r="O68" i="10"/>
  <c r="N68" i="10"/>
  <c r="O67" i="10"/>
  <c r="N67" i="10"/>
  <c r="O66" i="10"/>
  <c r="N66" i="10"/>
  <c r="O65" i="10"/>
  <c r="N65" i="10"/>
  <c r="O64" i="10"/>
  <c r="N64" i="10"/>
  <c r="O63" i="10"/>
  <c r="N63" i="10"/>
  <c r="O62" i="10"/>
  <c r="N62" i="10"/>
  <c r="O61" i="10"/>
  <c r="N61" i="10"/>
  <c r="O60" i="10"/>
  <c r="N60" i="10"/>
  <c r="O59" i="10"/>
  <c r="N59" i="10"/>
  <c r="O58" i="10"/>
  <c r="N58" i="10"/>
  <c r="O57" i="10"/>
  <c r="N57" i="10"/>
  <c r="O56" i="10"/>
  <c r="N56" i="10"/>
  <c r="O55" i="10"/>
  <c r="N55" i="10"/>
  <c r="O54" i="10"/>
  <c r="N54" i="10"/>
  <c r="O53" i="10"/>
  <c r="N53" i="10"/>
  <c r="O52" i="10"/>
  <c r="N52" i="10"/>
  <c r="O51" i="10"/>
  <c r="N51" i="10"/>
  <c r="O50" i="10"/>
  <c r="N50" i="10"/>
  <c r="O49" i="10"/>
  <c r="N49" i="10"/>
  <c r="O48" i="10"/>
  <c r="N48" i="10"/>
  <c r="O47" i="10"/>
  <c r="N47" i="10"/>
  <c r="O46" i="10"/>
  <c r="N46" i="10"/>
  <c r="O45" i="10"/>
  <c r="N45" i="10"/>
  <c r="O44" i="10"/>
  <c r="N44" i="10"/>
  <c r="O43" i="10"/>
  <c r="N43" i="10"/>
  <c r="O42" i="10"/>
  <c r="N42" i="10"/>
  <c r="O41" i="10"/>
  <c r="N41" i="10"/>
  <c r="O40" i="10"/>
  <c r="N40" i="10"/>
  <c r="O39" i="10"/>
  <c r="N39" i="10"/>
  <c r="O38" i="10"/>
  <c r="N38" i="10"/>
  <c r="O37" i="10"/>
  <c r="N37" i="10"/>
  <c r="O36" i="10"/>
  <c r="N36" i="10"/>
  <c r="O35" i="10"/>
  <c r="N35" i="10"/>
  <c r="O34" i="10"/>
  <c r="N34" i="10"/>
  <c r="O33" i="10"/>
  <c r="N33" i="10"/>
  <c r="O32" i="10"/>
  <c r="N32" i="10"/>
  <c r="O31" i="10"/>
  <c r="N31" i="10"/>
  <c r="O30" i="10"/>
  <c r="N30" i="10"/>
  <c r="O29" i="10"/>
  <c r="N29" i="10"/>
  <c r="O28" i="10"/>
  <c r="N28" i="10"/>
  <c r="O27" i="10"/>
  <c r="N27" i="10"/>
  <c r="O26" i="10"/>
  <c r="N26" i="10"/>
  <c r="O25" i="10"/>
  <c r="N25" i="10"/>
  <c r="O24" i="10"/>
  <c r="N24" i="10"/>
  <c r="O23" i="10"/>
  <c r="N23" i="10"/>
  <c r="O22" i="10"/>
  <c r="N22" i="10"/>
  <c r="O21" i="10"/>
  <c r="N21" i="10"/>
  <c r="O20" i="10"/>
  <c r="N20" i="10"/>
  <c r="O19" i="10"/>
  <c r="N19" i="10"/>
  <c r="O18" i="10"/>
  <c r="N18" i="10"/>
  <c r="O17" i="10"/>
  <c r="N17" i="10"/>
  <c r="O16" i="10"/>
  <c r="N16" i="10"/>
  <c r="O15" i="10"/>
  <c r="N15" i="10"/>
  <c r="O14" i="10"/>
  <c r="N14" i="10"/>
  <c r="O13" i="10"/>
  <c r="N13" i="10"/>
  <c r="O12" i="10"/>
  <c r="N12" i="10"/>
  <c r="O11" i="10"/>
  <c r="N11" i="10"/>
  <c r="N10" i="10"/>
  <c r="O10" i="10" s="1"/>
  <c r="O9" i="10"/>
  <c r="N9" i="10"/>
  <c r="N8" i="10"/>
  <c r="O8" i="10" s="1"/>
  <c r="O7" i="10"/>
  <c r="N7" i="10"/>
  <c r="N6" i="10"/>
  <c r="O6" i="10" s="1"/>
  <c r="N5" i="10"/>
  <c r="K204" i="8"/>
  <c r="K203" i="8"/>
  <c r="K202" i="8"/>
  <c r="K201" i="8"/>
  <c r="K200" i="8"/>
  <c r="K199" i="8"/>
  <c r="K198" i="8"/>
  <c r="K197" i="8"/>
  <c r="K196" i="8"/>
  <c r="K195" i="8"/>
  <c r="K194" i="8"/>
  <c r="K193" i="8"/>
  <c r="K192" i="8"/>
  <c r="K191" i="8"/>
  <c r="K190" i="8"/>
  <c r="K189" i="8"/>
  <c r="K188" i="8"/>
  <c r="K187" i="8"/>
  <c r="K186" i="8"/>
  <c r="K185" i="8"/>
  <c r="K184" i="8"/>
  <c r="K183" i="8"/>
  <c r="K182" i="8"/>
  <c r="K181" i="8"/>
  <c r="K180" i="8"/>
  <c r="K179" i="8"/>
  <c r="K178" i="8"/>
  <c r="K177" i="8"/>
  <c r="K176" i="8"/>
  <c r="K175" i="8"/>
  <c r="K174" i="8"/>
  <c r="K173" i="8"/>
  <c r="K172" i="8"/>
  <c r="K171" i="8"/>
  <c r="K170" i="8"/>
  <c r="K169" i="8"/>
  <c r="K168" i="8"/>
  <c r="K167" i="8"/>
  <c r="K166" i="8"/>
  <c r="K165" i="8"/>
  <c r="K164" i="8"/>
  <c r="K163" i="8"/>
  <c r="K162" i="8"/>
  <c r="K161" i="8"/>
  <c r="K160" i="8"/>
  <c r="K159" i="8"/>
  <c r="K158" i="8"/>
  <c r="K157" i="8"/>
  <c r="K156" i="8"/>
  <c r="K155" i="8"/>
  <c r="K154" i="8"/>
  <c r="K153" i="8"/>
  <c r="K152" i="8"/>
  <c r="K151" i="8"/>
  <c r="K150" i="8"/>
  <c r="K149" i="8"/>
  <c r="K148" i="8"/>
  <c r="K147" i="8"/>
  <c r="K146" i="8"/>
  <c r="K145" i="8"/>
  <c r="K144" i="8"/>
  <c r="K143" i="8"/>
  <c r="K142" i="8"/>
  <c r="K141" i="8"/>
  <c r="K140" i="8"/>
  <c r="K139" i="8"/>
  <c r="K138" i="8"/>
  <c r="K137" i="8"/>
  <c r="K136" i="8"/>
  <c r="K135" i="8"/>
  <c r="K134" i="8"/>
  <c r="K133" i="8"/>
  <c r="K132" i="8"/>
  <c r="K131" i="8"/>
  <c r="K130" i="8"/>
  <c r="K129" i="8"/>
  <c r="K128" i="8"/>
  <c r="K127" i="8"/>
  <c r="K126" i="8"/>
  <c r="K125" i="8"/>
  <c r="K124" i="8"/>
  <c r="K123" i="8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T304" i="5"/>
  <c r="Q304" i="5"/>
  <c r="T303" i="5"/>
  <c r="Q303" i="5"/>
  <c r="T302" i="5"/>
  <c r="Q302" i="5"/>
  <c r="T301" i="5"/>
  <c r="Q301" i="5"/>
  <c r="T300" i="5"/>
  <c r="Q300" i="5"/>
  <c r="T299" i="5"/>
  <c r="Q299" i="5"/>
  <c r="T298" i="5"/>
  <c r="Q298" i="5"/>
  <c r="T297" i="5"/>
  <c r="Q297" i="5"/>
  <c r="T296" i="5"/>
  <c r="Q296" i="5"/>
  <c r="T295" i="5"/>
  <c r="Q295" i="5"/>
  <c r="T294" i="5"/>
  <c r="Q294" i="5"/>
  <c r="T293" i="5"/>
  <c r="Q293" i="5"/>
  <c r="T292" i="5"/>
  <c r="Q292" i="5"/>
  <c r="T291" i="5"/>
  <c r="Q291" i="5"/>
  <c r="T290" i="5"/>
  <c r="Q290" i="5"/>
  <c r="T289" i="5"/>
  <c r="Q289" i="5"/>
  <c r="T288" i="5"/>
  <c r="Q288" i="5"/>
  <c r="T287" i="5"/>
  <c r="Q287" i="5"/>
  <c r="T286" i="5"/>
  <c r="Q286" i="5"/>
  <c r="T285" i="5"/>
  <c r="Q285" i="5"/>
  <c r="T284" i="5"/>
  <c r="Q284" i="5"/>
  <c r="T283" i="5"/>
  <c r="Q283" i="5"/>
  <c r="T282" i="5"/>
  <c r="Q282" i="5"/>
  <c r="T281" i="5"/>
  <c r="Q281" i="5"/>
  <c r="T280" i="5"/>
  <c r="Q280" i="5"/>
  <c r="T279" i="5"/>
  <c r="Q279" i="5"/>
  <c r="T278" i="5"/>
  <c r="Q278" i="5"/>
  <c r="T277" i="5"/>
  <c r="Q277" i="5"/>
  <c r="T276" i="5"/>
  <c r="Q276" i="5"/>
  <c r="T275" i="5"/>
  <c r="Q275" i="5"/>
  <c r="T274" i="5"/>
  <c r="Q274" i="5"/>
  <c r="T273" i="5"/>
  <c r="Q273" i="5"/>
  <c r="T272" i="5"/>
  <c r="Q272" i="5"/>
  <c r="T271" i="5"/>
  <c r="Q271" i="5"/>
  <c r="T270" i="5"/>
  <c r="Q270" i="5"/>
  <c r="T269" i="5"/>
  <c r="Q269" i="5"/>
  <c r="T268" i="5"/>
  <c r="Q268" i="5"/>
  <c r="T267" i="5"/>
  <c r="Q267" i="5"/>
  <c r="T266" i="5"/>
  <c r="Q266" i="5"/>
  <c r="T265" i="5"/>
  <c r="Q265" i="5"/>
  <c r="T264" i="5"/>
  <c r="Q264" i="5"/>
  <c r="T263" i="5"/>
  <c r="Q263" i="5"/>
  <c r="T262" i="5"/>
  <c r="Q262" i="5"/>
  <c r="T261" i="5"/>
  <c r="Q261" i="5"/>
  <c r="T260" i="5"/>
  <c r="Q260" i="5"/>
  <c r="T259" i="5"/>
  <c r="Q259" i="5"/>
  <c r="T258" i="5"/>
  <c r="Q258" i="5"/>
  <c r="T257" i="5"/>
  <c r="Q257" i="5"/>
  <c r="T256" i="5"/>
  <c r="Q256" i="5"/>
  <c r="T255" i="5"/>
  <c r="Q255" i="5"/>
  <c r="T254" i="5"/>
  <c r="Q254" i="5"/>
  <c r="T253" i="5"/>
  <c r="Q253" i="5"/>
  <c r="T252" i="5"/>
  <c r="Q252" i="5"/>
  <c r="T251" i="5"/>
  <c r="Q251" i="5"/>
  <c r="T250" i="5"/>
  <c r="Q250" i="5"/>
  <c r="T249" i="5"/>
  <c r="Q249" i="5"/>
  <c r="T248" i="5"/>
  <c r="Q248" i="5"/>
  <c r="T247" i="5"/>
  <c r="Q247" i="5"/>
  <c r="T246" i="5"/>
  <c r="Q246" i="5"/>
  <c r="T245" i="5"/>
  <c r="Q245" i="5"/>
  <c r="T244" i="5"/>
  <c r="Q244" i="5"/>
  <c r="T243" i="5"/>
  <c r="Q243" i="5"/>
  <c r="T242" i="5"/>
  <c r="Q242" i="5"/>
  <c r="T241" i="5"/>
  <c r="Q241" i="5"/>
  <c r="T240" i="5"/>
  <c r="Q240" i="5"/>
  <c r="T239" i="5"/>
  <c r="Q239" i="5"/>
  <c r="T238" i="5"/>
  <c r="Q238" i="5"/>
  <c r="T237" i="5"/>
  <c r="Q237" i="5"/>
  <c r="T236" i="5"/>
  <c r="Q236" i="5"/>
  <c r="T235" i="5"/>
  <c r="Q235" i="5"/>
  <c r="T234" i="5"/>
  <c r="Q234" i="5"/>
  <c r="T233" i="5"/>
  <c r="Q233" i="5"/>
  <c r="T232" i="5"/>
  <c r="Q232" i="5"/>
  <c r="T231" i="5"/>
  <c r="Q231" i="5"/>
  <c r="T230" i="5"/>
  <c r="Q230" i="5"/>
  <c r="T229" i="5"/>
  <c r="Q229" i="5"/>
  <c r="T228" i="5"/>
  <c r="Q228" i="5"/>
  <c r="T227" i="5"/>
  <c r="Q227" i="5"/>
  <c r="T226" i="5"/>
  <c r="Q226" i="5"/>
  <c r="T225" i="5"/>
  <c r="Q225" i="5"/>
  <c r="T224" i="5"/>
  <c r="Q224" i="5"/>
  <c r="T223" i="5"/>
  <c r="Q223" i="5"/>
  <c r="T222" i="5"/>
  <c r="Q222" i="5"/>
  <c r="T221" i="5"/>
  <c r="Q221" i="5"/>
  <c r="T220" i="5"/>
  <c r="Q220" i="5"/>
  <c r="T219" i="5"/>
  <c r="Q219" i="5"/>
  <c r="T218" i="5"/>
  <c r="Q218" i="5"/>
  <c r="T217" i="5"/>
  <c r="Q217" i="5"/>
  <c r="T216" i="5"/>
  <c r="Q216" i="5"/>
  <c r="T215" i="5"/>
  <c r="Q215" i="5"/>
  <c r="T214" i="5"/>
  <c r="Q214" i="5"/>
  <c r="T213" i="5"/>
  <c r="Q213" i="5"/>
  <c r="T212" i="5"/>
  <c r="Q212" i="5"/>
  <c r="T211" i="5"/>
  <c r="Q211" i="5"/>
  <c r="T210" i="5"/>
  <c r="Q210" i="5"/>
  <c r="T209" i="5"/>
  <c r="Q209" i="5"/>
  <c r="T208" i="5"/>
  <c r="Q208" i="5"/>
  <c r="T207" i="5"/>
  <c r="Q207" i="5"/>
  <c r="T206" i="5"/>
  <c r="Q206" i="5"/>
  <c r="T205" i="5"/>
  <c r="Q205" i="5"/>
  <c r="T204" i="5"/>
  <c r="Q204" i="5"/>
  <c r="T203" i="5"/>
  <c r="Q203" i="5"/>
  <c r="T202" i="5"/>
  <c r="Q202" i="5"/>
  <c r="T201" i="5"/>
  <c r="Q201" i="5"/>
  <c r="T200" i="5"/>
  <c r="Q200" i="5"/>
  <c r="T199" i="5"/>
  <c r="Q199" i="5"/>
  <c r="T198" i="5"/>
  <c r="Q198" i="5"/>
  <c r="T197" i="5"/>
  <c r="Q197" i="5"/>
  <c r="T196" i="5"/>
  <c r="Q196" i="5"/>
  <c r="T195" i="5"/>
  <c r="Q195" i="5"/>
  <c r="T194" i="5"/>
  <c r="Q194" i="5"/>
  <c r="T193" i="5"/>
  <c r="Q193" i="5"/>
  <c r="T192" i="5"/>
  <c r="Q192" i="5"/>
  <c r="T191" i="5"/>
  <c r="Q191" i="5"/>
  <c r="T190" i="5"/>
  <c r="Q190" i="5"/>
  <c r="T189" i="5"/>
  <c r="Q189" i="5"/>
  <c r="T188" i="5"/>
  <c r="Q188" i="5"/>
  <c r="T187" i="5"/>
  <c r="Q187" i="5"/>
  <c r="T186" i="5"/>
  <c r="Q186" i="5"/>
  <c r="T185" i="5"/>
  <c r="Q185" i="5"/>
  <c r="T184" i="5"/>
  <c r="Q184" i="5"/>
  <c r="T183" i="5"/>
  <c r="Q183" i="5"/>
  <c r="T182" i="5"/>
  <c r="Q182" i="5"/>
  <c r="T181" i="5"/>
  <c r="Q181" i="5"/>
  <c r="T180" i="5"/>
  <c r="Q180" i="5"/>
  <c r="T179" i="5"/>
  <c r="Q179" i="5"/>
  <c r="T178" i="5"/>
  <c r="Q178" i="5"/>
  <c r="T177" i="5"/>
  <c r="Q177" i="5"/>
  <c r="T176" i="5"/>
  <c r="Q176" i="5"/>
  <c r="T175" i="5"/>
  <c r="Q175" i="5"/>
  <c r="T174" i="5"/>
  <c r="Q174" i="5"/>
  <c r="T173" i="5"/>
  <c r="Q173" i="5"/>
  <c r="T172" i="5"/>
  <c r="Q172" i="5"/>
  <c r="T171" i="5"/>
  <c r="Q171" i="5"/>
  <c r="T170" i="5"/>
  <c r="Q170" i="5"/>
  <c r="T169" i="5"/>
  <c r="Q169" i="5"/>
  <c r="T168" i="5"/>
  <c r="Q168" i="5"/>
  <c r="T167" i="5"/>
  <c r="Q167" i="5"/>
  <c r="T166" i="5"/>
  <c r="Q166" i="5"/>
  <c r="T165" i="5"/>
  <c r="Q165" i="5"/>
  <c r="T164" i="5"/>
  <c r="Q164" i="5"/>
  <c r="T163" i="5"/>
  <c r="Q163" i="5"/>
  <c r="T162" i="5"/>
  <c r="Q162" i="5"/>
  <c r="T161" i="5"/>
  <c r="Q161" i="5"/>
  <c r="T160" i="5"/>
  <c r="Q160" i="5"/>
  <c r="T159" i="5"/>
  <c r="Q159" i="5"/>
  <c r="T158" i="5"/>
  <c r="Q158" i="5"/>
  <c r="T157" i="5"/>
  <c r="Q157" i="5"/>
  <c r="T156" i="5"/>
  <c r="Q156" i="5"/>
  <c r="T155" i="5"/>
  <c r="Q155" i="5"/>
  <c r="T154" i="5"/>
  <c r="Q154" i="5"/>
  <c r="T153" i="5"/>
  <c r="Q153" i="5"/>
  <c r="T152" i="5"/>
  <c r="Q152" i="5"/>
  <c r="T151" i="5"/>
  <c r="Q151" i="5"/>
  <c r="T150" i="5"/>
  <c r="Q150" i="5"/>
  <c r="T149" i="5"/>
  <c r="Q149" i="5"/>
  <c r="T148" i="5"/>
  <c r="Q148" i="5"/>
  <c r="T147" i="5"/>
  <c r="Q147" i="5"/>
  <c r="T146" i="5"/>
  <c r="Q146" i="5"/>
  <c r="T145" i="5"/>
  <c r="Q145" i="5"/>
  <c r="T144" i="5"/>
  <c r="Q144" i="5"/>
  <c r="T143" i="5"/>
  <c r="Q143" i="5"/>
  <c r="T142" i="5"/>
  <c r="Q142" i="5"/>
  <c r="T141" i="5"/>
  <c r="Q141" i="5"/>
  <c r="T140" i="5"/>
  <c r="Q140" i="5"/>
  <c r="T139" i="5"/>
  <c r="Q139" i="5"/>
  <c r="T138" i="5"/>
  <c r="Q138" i="5"/>
  <c r="T137" i="5"/>
  <c r="Q137" i="5"/>
  <c r="T136" i="5"/>
  <c r="Q136" i="5"/>
  <c r="T135" i="5"/>
  <c r="Q135" i="5"/>
  <c r="T134" i="5"/>
  <c r="Q134" i="5"/>
  <c r="T133" i="5"/>
  <c r="Q133" i="5"/>
  <c r="T132" i="5"/>
  <c r="Q132" i="5"/>
  <c r="T131" i="5"/>
  <c r="Q131" i="5"/>
  <c r="T130" i="5"/>
  <c r="Q130" i="5"/>
  <c r="T129" i="5"/>
  <c r="Q129" i="5"/>
  <c r="T128" i="5"/>
  <c r="Q128" i="5"/>
  <c r="T127" i="5"/>
  <c r="Q127" i="5"/>
  <c r="T126" i="5"/>
  <c r="Q126" i="5"/>
  <c r="T125" i="5"/>
  <c r="Q125" i="5"/>
  <c r="T124" i="5"/>
  <c r="Q124" i="5"/>
  <c r="T123" i="5"/>
  <c r="Q123" i="5"/>
  <c r="T122" i="5"/>
  <c r="Q122" i="5"/>
  <c r="T121" i="5"/>
  <c r="Q121" i="5"/>
  <c r="T120" i="5"/>
  <c r="Q120" i="5"/>
  <c r="T119" i="5"/>
  <c r="Q119" i="5"/>
  <c r="T118" i="5"/>
  <c r="Q118" i="5"/>
  <c r="T117" i="5"/>
  <c r="Q117" i="5"/>
  <c r="T116" i="5"/>
  <c r="Q116" i="5"/>
  <c r="T115" i="5"/>
  <c r="Q115" i="5"/>
  <c r="T114" i="5"/>
  <c r="Q114" i="5"/>
  <c r="T113" i="5"/>
  <c r="Q113" i="5"/>
  <c r="T112" i="5"/>
  <c r="Q112" i="5"/>
  <c r="T111" i="5"/>
  <c r="Q111" i="5"/>
  <c r="T110" i="5"/>
  <c r="Q110" i="5"/>
  <c r="T109" i="5"/>
  <c r="Q109" i="5"/>
  <c r="T108" i="5"/>
  <c r="Q108" i="5"/>
  <c r="T107" i="5"/>
  <c r="Q107" i="5"/>
  <c r="T106" i="5"/>
  <c r="Q106" i="5"/>
  <c r="T105" i="5"/>
  <c r="Q105" i="5"/>
  <c r="T104" i="5"/>
  <c r="Q104" i="5"/>
  <c r="T103" i="5"/>
  <c r="Q103" i="5"/>
  <c r="T102" i="5"/>
  <c r="Q102" i="5"/>
  <c r="T101" i="5"/>
  <c r="Q101" i="5"/>
  <c r="T100" i="5"/>
  <c r="Q100" i="5"/>
  <c r="T99" i="5"/>
  <c r="Q99" i="5"/>
  <c r="T98" i="5"/>
  <c r="Q98" i="5"/>
  <c r="T97" i="5"/>
  <c r="Q97" i="5"/>
  <c r="T96" i="5"/>
  <c r="Q96" i="5"/>
  <c r="T95" i="5"/>
  <c r="Q95" i="5"/>
  <c r="T94" i="5"/>
  <c r="Q94" i="5"/>
  <c r="T93" i="5"/>
  <c r="Q93" i="5"/>
  <c r="T92" i="5"/>
  <c r="Q92" i="5"/>
  <c r="T91" i="5"/>
  <c r="Q91" i="5"/>
  <c r="T90" i="5"/>
  <c r="Q90" i="5"/>
  <c r="T89" i="5"/>
  <c r="Q89" i="5"/>
  <c r="T88" i="5"/>
  <c r="Q88" i="5"/>
  <c r="T87" i="5"/>
  <c r="Q87" i="5"/>
  <c r="T86" i="5"/>
  <c r="Q86" i="5"/>
  <c r="T85" i="5"/>
  <c r="Q85" i="5"/>
  <c r="T84" i="5"/>
  <c r="Q84" i="5"/>
  <c r="T83" i="5"/>
  <c r="Q83" i="5"/>
  <c r="T82" i="5"/>
  <c r="Q82" i="5"/>
  <c r="T81" i="5"/>
  <c r="Q81" i="5"/>
  <c r="T80" i="5"/>
  <c r="Q80" i="5"/>
  <c r="T79" i="5"/>
  <c r="Q79" i="5"/>
  <c r="T78" i="5"/>
  <c r="Q78" i="5"/>
  <c r="T77" i="5"/>
  <c r="Q77" i="5"/>
  <c r="T76" i="5"/>
  <c r="Q76" i="5"/>
  <c r="T75" i="5"/>
  <c r="Q75" i="5"/>
  <c r="T74" i="5"/>
  <c r="Q74" i="5"/>
  <c r="T73" i="5"/>
  <c r="Q73" i="5"/>
  <c r="T72" i="5"/>
  <c r="Q72" i="5"/>
  <c r="T71" i="5"/>
  <c r="Q71" i="5"/>
  <c r="T70" i="5"/>
  <c r="Q70" i="5"/>
  <c r="T69" i="5"/>
  <c r="Q69" i="5"/>
  <c r="T68" i="5"/>
  <c r="Q68" i="5"/>
  <c r="T67" i="5"/>
  <c r="Q67" i="5"/>
  <c r="T66" i="5"/>
  <c r="Q66" i="5"/>
  <c r="T65" i="5"/>
  <c r="Q65" i="5"/>
  <c r="T64" i="5"/>
  <c r="Q64" i="5"/>
  <c r="T63" i="5"/>
  <c r="Q63" i="5"/>
  <c r="T62" i="5"/>
  <c r="Q62" i="5"/>
  <c r="T61" i="5"/>
  <c r="Q61" i="5"/>
  <c r="T60" i="5"/>
  <c r="Q60" i="5"/>
  <c r="T59" i="5"/>
  <c r="Q59" i="5"/>
  <c r="T58" i="5"/>
  <c r="Q58" i="5"/>
  <c r="T57" i="5"/>
  <c r="Q57" i="5"/>
  <c r="T56" i="5"/>
  <c r="Q56" i="5"/>
  <c r="T55" i="5"/>
  <c r="Q55" i="5"/>
  <c r="T54" i="5"/>
  <c r="Q54" i="5"/>
  <c r="T53" i="5"/>
  <c r="Q53" i="5"/>
  <c r="T52" i="5"/>
  <c r="Q52" i="5"/>
  <c r="T51" i="5"/>
  <c r="Q51" i="5"/>
  <c r="T50" i="5"/>
  <c r="Q50" i="5"/>
  <c r="T49" i="5"/>
  <c r="Q49" i="5"/>
  <c r="T48" i="5"/>
  <c r="Q48" i="5"/>
  <c r="T47" i="5"/>
  <c r="Q47" i="5"/>
  <c r="T46" i="5"/>
  <c r="Q46" i="5"/>
  <c r="T45" i="5"/>
  <c r="Q45" i="5"/>
  <c r="T44" i="5"/>
  <c r="Q44" i="5"/>
  <c r="T43" i="5"/>
  <c r="Q43" i="5"/>
  <c r="T42" i="5"/>
  <c r="Q42" i="5"/>
  <c r="T41" i="5"/>
  <c r="Q41" i="5"/>
  <c r="T40" i="5"/>
  <c r="Q40" i="5"/>
  <c r="T39" i="5"/>
  <c r="Q39" i="5"/>
  <c r="T38" i="5"/>
  <c r="Q38" i="5"/>
  <c r="T37" i="5"/>
  <c r="Q37" i="5"/>
  <c r="T36" i="5"/>
  <c r="Q36" i="5"/>
  <c r="T35" i="5"/>
  <c r="Q35" i="5"/>
  <c r="T34" i="5"/>
  <c r="Q34" i="5"/>
  <c r="T33" i="5"/>
  <c r="Q33" i="5"/>
  <c r="T32" i="5"/>
  <c r="Q32" i="5"/>
  <c r="T31" i="5"/>
  <c r="Q31" i="5"/>
  <c r="T30" i="5"/>
  <c r="Q30" i="5"/>
  <c r="T29" i="5"/>
  <c r="Q29" i="5"/>
  <c r="T28" i="5"/>
  <c r="Q28" i="5"/>
  <c r="T27" i="5"/>
  <c r="Q27" i="5"/>
  <c r="T26" i="5"/>
  <c r="Q26" i="5"/>
  <c r="T25" i="5"/>
  <c r="Q25" i="5"/>
  <c r="T24" i="5"/>
  <c r="Q24" i="5"/>
  <c r="T23" i="5"/>
  <c r="Q23" i="5"/>
  <c r="T22" i="5"/>
  <c r="Q22" i="5"/>
  <c r="T21" i="5"/>
  <c r="Q21" i="5"/>
  <c r="T20" i="5"/>
  <c r="Q20" i="5"/>
  <c r="T19" i="5"/>
  <c r="Q19" i="5"/>
  <c r="T18" i="5"/>
  <c r="Q18" i="5"/>
  <c r="T17" i="5"/>
  <c r="T16" i="5"/>
  <c r="T15" i="5"/>
  <c r="T14" i="5"/>
  <c r="T13" i="5"/>
  <c r="T12" i="5"/>
  <c r="Q12" i="5"/>
  <c r="T11" i="5"/>
  <c r="Q11" i="5"/>
  <c r="T10" i="5"/>
  <c r="T9" i="5"/>
  <c r="T8" i="5"/>
  <c r="T7" i="5"/>
  <c r="T6" i="5"/>
  <c r="T5" i="5"/>
  <c r="O304" i="4"/>
  <c r="N304" i="4"/>
  <c r="M304" i="4"/>
  <c r="O303" i="4"/>
  <c r="N303" i="4"/>
  <c r="M303" i="4"/>
  <c r="O302" i="4"/>
  <c r="N302" i="4"/>
  <c r="M302" i="4"/>
  <c r="O301" i="4"/>
  <c r="N301" i="4"/>
  <c r="M301" i="4"/>
  <c r="O300" i="4"/>
  <c r="N300" i="4"/>
  <c r="M300" i="4"/>
  <c r="O299" i="4"/>
  <c r="N299" i="4"/>
  <c r="M299" i="4"/>
  <c r="O298" i="4"/>
  <c r="N298" i="4"/>
  <c r="M298" i="4"/>
  <c r="O297" i="4"/>
  <c r="N297" i="4"/>
  <c r="M297" i="4"/>
  <c r="O296" i="4"/>
  <c r="N296" i="4"/>
  <c r="M296" i="4"/>
  <c r="O295" i="4"/>
  <c r="N295" i="4"/>
  <c r="M295" i="4"/>
  <c r="O294" i="4"/>
  <c r="N294" i="4"/>
  <c r="M294" i="4"/>
  <c r="O293" i="4"/>
  <c r="N293" i="4"/>
  <c r="M293" i="4"/>
  <c r="O292" i="4"/>
  <c r="N292" i="4"/>
  <c r="M292" i="4"/>
  <c r="O291" i="4"/>
  <c r="N291" i="4"/>
  <c r="M291" i="4"/>
  <c r="O290" i="4"/>
  <c r="N290" i="4"/>
  <c r="M290" i="4"/>
  <c r="O289" i="4"/>
  <c r="N289" i="4"/>
  <c r="M289" i="4"/>
  <c r="O288" i="4"/>
  <c r="N288" i="4"/>
  <c r="M288" i="4"/>
  <c r="O287" i="4"/>
  <c r="N287" i="4"/>
  <c r="M287" i="4"/>
  <c r="O286" i="4"/>
  <c r="N286" i="4"/>
  <c r="M286" i="4"/>
  <c r="O285" i="4"/>
  <c r="N285" i="4"/>
  <c r="M285" i="4"/>
  <c r="O284" i="4"/>
  <c r="N284" i="4"/>
  <c r="M284" i="4"/>
  <c r="O283" i="4"/>
  <c r="N283" i="4"/>
  <c r="M283" i="4"/>
  <c r="O282" i="4"/>
  <c r="N282" i="4"/>
  <c r="M282" i="4"/>
  <c r="O281" i="4"/>
  <c r="N281" i="4"/>
  <c r="M281" i="4"/>
  <c r="O280" i="4"/>
  <c r="N280" i="4"/>
  <c r="M280" i="4"/>
  <c r="O279" i="4"/>
  <c r="N279" i="4"/>
  <c r="M279" i="4"/>
  <c r="O278" i="4"/>
  <c r="N278" i="4"/>
  <c r="M278" i="4"/>
  <c r="O277" i="4"/>
  <c r="N277" i="4"/>
  <c r="M277" i="4"/>
  <c r="O276" i="4"/>
  <c r="N276" i="4"/>
  <c r="M276" i="4"/>
  <c r="O275" i="4"/>
  <c r="N275" i="4"/>
  <c r="M275" i="4"/>
  <c r="O274" i="4"/>
  <c r="N274" i="4"/>
  <c r="M274" i="4"/>
  <c r="O273" i="4"/>
  <c r="N273" i="4"/>
  <c r="M273" i="4"/>
  <c r="O272" i="4"/>
  <c r="N272" i="4"/>
  <c r="M272" i="4"/>
  <c r="O271" i="4"/>
  <c r="N271" i="4"/>
  <c r="M271" i="4"/>
  <c r="O270" i="4"/>
  <c r="N270" i="4"/>
  <c r="M270" i="4"/>
  <c r="O269" i="4"/>
  <c r="N269" i="4"/>
  <c r="M269" i="4"/>
  <c r="O268" i="4"/>
  <c r="N268" i="4"/>
  <c r="M268" i="4"/>
  <c r="O267" i="4"/>
  <c r="N267" i="4"/>
  <c r="M267" i="4"/>
  <c r="O266" i="4"/>
  <c r="N266" i="4"/>
  <c r="M266" i="4"/>
  <c r="O265" i="4"/>
  <c r="N265" i="4"/>
  <c r="M265" i="4"/>
  <c r="O264" i="4"/>
  <c r="N264" i="4"/>
  <c r="M264" i="4"/>
  <c r="O263" i="4"/>
  <c r="N263" i="4"/>
  <c r="M263" i="4"/>
  <c r="O262" i="4"/>
  <c r="N262" i="4"/>
  <c r="M262" i="4"/>
  <c r="O261" i="4"/>
  <c r="N261" i="4"/>
  <c r="M261" i="4"/>
  <c r="O260" i="4"/>
  <c r="N260" i="4"/>
  <c r="M260" i="4"/>
  <c r="O259" i="4"/>
  <c r="N259" i="4"/>
  <c r="M259" i="4"/>
  <c r="O258" i="4"/>
  <c r="N258" i="4"/>
  <c r="M258" i="4"/>
  <c r="O257" i="4"/>
  <c r="N257" i="4"/>
  <c r="M257" i="4"/>
  <c r="O256" i="4"/>
  <c r="N256" i="4"/>
  <c r="M256" i="4"/>
  <c r="O255" i="4"/>
  <c r="N255" i="4"/>
  <c r="M255" i="4"/>
  <c r="O254" i="4"/>
  <c r="N254" i="4"/>
  <c r="M254" i="4"/>
  <c r="O253" i="4"/>
  <c r="N253" i="4"/>
  <c r="M253" i="4"/>
  <c r="O252" i="4"/>
  <c r="N252" i="4"/>
  <c r="M252" i="4"/>
  <c r="O251" i="4"/>
  <c r="N251" i="4"/>
  <c r="M251" i="4"/>
  <c r="O250" i="4"/>
  <c r="N250" i="4"/>
  <c r="M250" i="4"/>
  <c r="O249" i="4"/>
  <c r="N249" i="4"/>
  <c r="M249" i="4"/>
  <c r="O248" i="4"/>
  <c r="N248" i="4"/>
  <c r="M248" i="4"/>
  <c r="O247" i="4"/>
  <c r="N247" i="4"/>
  <c r="M247" i="4"/>
  <c r="O246" i="4"/>
  <c r="N246" i="4"/>
  <c r="M246" i="4"/>
  <c r="O245" i="4"/>
  <c r="N245" i="4"/>
  <c r="M245" i="4"/>
  <c r="O244" i="4"/>
  <c r="N244" i="4"/>
  <c r="M244" i="4"/>
  <c r="O243" i="4"/>
  <c r="N243" i="4"/>
  <c r="M243" i="4"/>
  <c r="O242" i="4"/>
  <c r="N242" i="4"/>
  <c r="M242" i="4"/>
  <c r="O241" i="4"/>
  <c r="N241" i="4"/>
  <c r="M241" i="4"/>
  <c r="O240" i="4"/>
  <c r="N240" i="4"/>
  <c r="M240" i="4"/>
  <c r="O239" i="4"/>
  <c r="N239" i="4"/>
  <c r="M239" i="4"/>
  <c r="O238" i="4"/>
  <c r="N238" i="4"/>
  <c r="M238" i="4"/>
  <c r="O237" i="4"/>
  <c r="N237" i="4"/>
  <c r="M237" i="4"/>
  <c r="O236" i="4"/>
  <c r="N236" i="4"/>
  <c r="M236" i="4"/>
  <c r="O235" i="4"/>
  <c r="N235" i="4"/>
  <c r="M235" i="4"/>
  <c r="O234" i="4"/>
  <c r="N234" i="4"/>
  <c r="M234" i="4"/>
  <c r="O233" i="4"/>
  <c r="N233" i="4"/>
  <c r="M233" i="4"/>
  <c r="O232" i="4"/>
  <c r="N232" i="4"/>
  <c r="M232" i="4"/>
  <c r="O231" i="4"/>
  <c r="N231" i="4"/>
  <c r="M231" i="4"/>
  <c r="O230" i="4"/>
  <c r="N230" i="4"/>
  <c r="M230" i="4"/>
  <c r="O229" i="4"/>
  <c r="N229" i="4"/>
  <c r="M229" i="4"/>
  <c r="O228" i="4"/>
  <c r="N228" i="4"/>
  <c r="M228" i="4"/>
  <c r="O227" i="4"/>
  <c r="N227" i="4"/>
  <c r="M227" i="4"/>
  <c r="O226" i="4"/>
  <c r="N226" i="4"/>
  <c r="M226" i="4"/>
  <c r="O225" i="4"/>
  <c r="N225" i="4"/>
  <c r="M225" i="4"/>
  <c r="O224" i="4"/>
  <c r="N224" i="4"/>
  <c r="M224" i="4"/>
  <c r="O223" i="4"/>
  <c r="N223" i="4"/>
  <c r="M223" i="4"/>
  <c r="O222" i="4"/>
  <c r="N222" i="4"/>
  <c r="M222" i="4"/>
  <c r="O221" i="4"/>
  <c r="N221" i="4"/>
  <c r="M221" i="4"/>
  <c r="O220" i="4"/>
  <c r="N220" i="4"/>
  <c r="M220" i="4"/>
  <c r="O219" i="4"/>
  <c r="N219" i="4"/>
  <c r="M219" i="4"/>
  <c r="O218" i="4"/>
  <c r="N218" i="4"/>
  <c r="M218" i="4"/>
  <c r="O217" i="4"/>
  <c r="N217" i="4"/>
  <c r="M217" i="4"/>
  <c r="O216" i="4"/>
  <c r="N216" i="4"/>
  <c r="M216" i="4"/>
  <c r="O215" i="4"/>
  <c r="N215" i="4"/>
  <c r="M215" i="4"/>
  <c r="O214" i="4"/>
  <c r="N214" i="4"/>
  <c r="M214" i="4"/>
  <c r="O213" i="4"/>
  <c r="N213" i="4"/>
  <c r="M213" i="4"/>
  <c r="O212" i="4"/>
  <c r="N212" i="4"/>
  <c r="M212" i="4"/>
  <c r="O211" i="4"/>
  <c r="N211" i="4"/>
  <c r="M211" i="4"/>
  <c r="O210" i="4"/>
  <c r="N210" i="4"/>
  <c r="M210" i="4"/>
  <c r="O209" i="4"/>
  <c r="N209" i="4"/>
  <c r="M209" i="4"/>
  <c r="O208" i="4"/>
  <c r="N208" i="4"/>
  <c r="M208" i="4"/>
  <c r="O207" i="4"/>
  <c r="N207" i="4"/>
  <c r="M207" i="4"/>
  <c r="O206" i="4"/>
  <c r="N206" i="4"/>
  <c r="M206" i="4"/>
  <c r="O205" i="4"/>
  <c r="N205" i="4"/>
  <c r="M205" i="4"/>
  <c r="O204" i="4"/>
  <c r="N204" i="4"/>
  <c r="M204" i="4"/>
  <c r="O203" i="4"/>
  <c r="N203" i="4"/>
  <c r="M203" i="4"/>
  <c r="O202" i="4"/>
  <c r="N202" i="4"/>
  <c r="M202" i="4"/>
  <c r="O201" i="4"/>
  <c r="N201" i="4"/>
  <c r="M201" i="4"/>
  <c r="O200" i="4"/>
  <c r="N200" i="4"/>
  <c r="M200" i="4"/>
  <c r="O199" i="4"/>
  <c r="N199" i="4"/>
  <c r="M199" i="4"/>
  <c r="O198" i="4"/>
  <c r="N198" i="4"/>
  <c r="M198" i="4"/>
  <c r="O197" i="4"/>
  <c r="N197" i="4"/>
  <c r="M197" i="4"/>
  <c r="O196" i="4"/>
  <c r="N196" i="4"/>
  <c r="M196" i="4"/>
  <c r="O195" i="4"/>
  <c r="N195" i="4"/>
  <c r="M195" i="4"/>
  <c r="O194" i="4"/>
  <c r="N194" i="4"/>
  <c r="M194" i="4"/>
  <c r="O193" i="4"/>
  <c r="N193" i="4"/>
  <c r="M193" i="4"/>
  <c r="O192" i="4"/>
  <c r="N192" i="4"/>
  <c r="M192" i="4"/>
  <c r="O191" i="4"/>
  <c r="N191" i="4"/>
  <c r="M191" i="4"/>
  <c r="O190" i="4"/>
  <c r="N190" i="4"/>
  <c r="M190" i="4"/>
  <c r="O189" i="4"/>
  <c r="N189" i="4"/>
  <c r="M189" i="4"/>
  <c r="O188" i="4"/>
  <c r="N188" i="4"/>
  <c r="M188" i="4"/>
  <c r="O187" i="4"/>
  <c r="N187" i="4"/>
  <c r="M187" i="4"/>
  <c r="O186" i="4"/>
  <c r="N186" i="4"/>
  <c r="M186" i="4"/>
  <c r="O185" i="4"/>
  <c r="N185" i="4"/>
  <c r="M185" i="4"/>
  <c r="O184" i="4"/>
  <c r="N184" i="4"/>
  <c r="M184" i="4"/>
  <c r="O183" i="4"/>
  <c r="N183" i="4"/>
  <c r="M183" i="4"/>
  <c r="O182" i="4"/>
  <c r="N182" i="4"/>
  <c r="M182" i="4"/>
  <c r="O181" i="4"/>
  <c r="N181" i="4"/>
  <c r="M181" i="4"/>
  <c r="O180" i="4"/>
  <c r="N180" i="4"/>
  <c r="M180" i="4"/>
  <c r="O179" i="4"/>
  <c r="N179" i="4"/>
  <c r="M179" i="4"/>
  <c r="O178" i="4"/>
  <c r="N178" i="4"/>
  <c r="M178" i="4"/>
  <c r="O177" i="4"/>
  <c r="N177" i="4"/>
  <c r="M177" i="4"/>
  <c r="O176" i="4"/>
  <c r="N176" i="4"/>
  <c r="M176" i="4"/>
  <c r="O175" i="4"/>
  <c r="N175" i="4"/>
  <c r="M175" i="4"/>
  <c r="O174" i="4"/>
  <c r="N174" i="4"/>
  <c r="M174" i="4"/>
  <c r="O173" i="4"/>
  <c r="N173" i="4"/>
  <c r="M173" i="4"/>
  <c r="O172" i="4"/>
  <c r="N172" i="4"/>
  <c r="M172" i="4"/>
  <c r="O171" i="4"/>
  <c r="N171" i="4"/>
  <c r="M171" i="4"/>
  <c r="O170" i="4"/>
  <c r="N170" i="4"/>
  <c r="M170" i="4"/>
  <c r="O169" i="4"/>
  <c r="N169" i="4"/>
  <c r="M169" i="4"/>
  <c r="O168" i="4"/>
  <c r="N168" i="4"/>
  <c r="M168" i="4"/>
  <c r="O167" i="4"/>
  <c r="N167" i="4"/>
  <c r="M167" i="4"/>
  <c r="O166" i="4"/>
  <c r="N166" i="4"/>
  <c r="M166" i="4"/>
  <c r="O165" i="4"/>
  <c r="N165" i="4"/>
  <c r="M165" i="4"/>
  <c r="O164" i="4"/>
  <c r="N164" i="4"/>
  <c r="M164" i="4"/>
  <c r="O163" i="4"/>
  <c r="N163" i="4"/>
  <c r="M163" i="4"/>
  <c r="O162" i="4"/>
  <c r="N162" i="4"/>
  <c r="M162" i="4"/>
  <c r="O161" i="4"/>
  <c r="N161" i="4"/>
  <c r="M161" i="4"/>
  <c r="O160" i="4"/>
  <c r="N160" i="4"/>
  <c r="M160" i="4"/>
  <c r="O159" i="4"/>
  <c r="N159" i="4"/>
  <c r="M159" i="4"/>
  <c r="O158" i="4"/>
  <c r="N158" i="4"/>
  <c r="M158" i="4"/>
  <c r="O157" i="4"/>
  <c r="N157" i="4"/>
  <c r="M157" i="4"/>
  <c r="O156" i="4"/>
  <c r="N156" i="4"/>
  <c r="M156" i="4"/>
  <c r="O155" i="4"/>
  <c r="N155" i="4"/>
  <c r="M155" i="4"/>
  <c r="O154" i="4"/>
  <c r="N154" i="4"/>
  <c r="M154" i="4"/>
  <c r="O153" i="4"/>
  <c r="N153" i="4"/>
  <c r="M153" i="4"/>
  <c r="O152" i="4"/>
  <c r="N152" i="4"/>
  <c r="M152" i="4"/>
  <c r="O151" i="4"/>
  <c r="N151" i="4"/>
  <c r="M151" i="4"/>
  <c r="O150" i="4"/>
  <c r="N150" i="4"/>
  <c r="M150" i="4"/>
  <c r="O149" i="4"/>
  <c r="N149" i="4"/>
  <c r="M149" i="4"/>
  <c r="O148" i="4"/>
  <c r="N148" i="4"/>
  <c r="M148" i="4"/>
  <c r="O147" i="4"/>
  <c r="N147" i="4"/>
  <c r="M147" i="4"/>
  <c r="O146" i="4"/>
  <c r="N146" i="4"/>
  <c r="M146" i="4"/>
  <c r="O145" i="4"/>
  <c r="N145" i="4"/>
  <c r="M145" i="4"/>
  <c r="O144" i="4"/>
  <c r="N144" i="4"/>
  <c r="M144" i="4"/>
  <c r="O143" i="4"/>
  <c r="N143" i="4"/>
  <c r="M143" i="4"/>
  <c r="O142" i="4"/>
  <c r="N142" i="4"/>
  <c r="M142" i="4"/>
  <c r="O141" i="4"/>
  <c r="N141" i="4"/>
  <c r="M141" i="4"/>
  <c r="O140" i="4"/>
  <c r="N140" i="4"/>
  <c r="M140" i="4"/>
  <c r="O139" i="4"/>
  <c r="N139" i="4"/>
  <c r="M139" i="4"/>
  <c r="O138" i="4"/>
  <c r="N138" i="4"/>
  <c r="M138" i="4"/>
  <c r="O137" i="4"/>
  <c r="N137" i="4"/>
  <c r="M137" i="4"/>
  <c r="O136" i="4"/>
  <c r="N136" i="4"/>
  <c r="M136" i="4"/>
  <c r="O135" i="4"/>
  <c r="N135" i="4"/>
  <c r="M135" i="4"/>
  <c r="O134" i="4"/>
  <c r="N134" i="4"/>
  <c r="M134" i="4"/>
  <c r="O133" i="4"/>
  <c r="N133" i="4"/>
  <c r="M133" i="4"/>
  <c r="O132" i="4"/>
  <c r="N132" i="4"/>
  <c r="M132" i="4"/>
  <c r="O131" i="4"/>
  <c r="N131" i="4"/>
  <c r="M131" i="4"/>
  <c r="O130" i="4"/>
  <c r="N130" i="4"/>
  <c r="M130" i="4"/>
  <c r="O129" i="4"/>
  <c r="N129" i="4"/>
  <c r="M129" i="4"/>
  <c r="O128" i="4"/>
  <c r="N128" i="4"/>
  <c r="M128" i="4"/>
  <c r="O127" i="4"/>
  <c r="N127" i="4"/>
  <c r="M127" i="4"/>
  <c r="O126" i="4"/>
  <c r="N126" i="4"/>
  <c r="M126" i="4"/>
  <c r="O125" i="4"/>
  <c r="N125" i="4"/>
  <c r="M125" i="4"/>
  <c r="O124" i="4"/>
  <c r="N124" i="4"/>
  <c r="M124" i="4"/>
  <c r="O123" i="4"/>
  <c r="N123" i="4"/>
  <c r="M123" i="4"/>
  <c r="O122" i="4"/>
  <c r="N122" i="4"/>
  <c r="M122" i="4"/>
  <c r="O121" i="4"/>
  <c r="N121" i="4"/>
  <c r="M121" i="4"/>
  <c r="O120" i="4"/>
  <c r="N120" i="4"/>
  <c r="M120" i="4"/>
  <c r="O119" i="4"/>
  <c r="N119" i="4"/>
  <c r="M119" i="4"/>
  <c r="O118" i="4"/>
  <c r="N118" i="4"/>
  <c r="M118" i="4"/>
  <c r="O117" i="4"/>
  <c r="N117" i="4"/>
  <c r="M117" i="4"/>
  <c r="O116" i="4"/>
  <c r="N116" i="4"/>
  <c r="M116" i="4"/>
  <c r="O115" i="4"/>
  <c r="N115" i="4"/>
  <c r="M115" i="4"/>
  <c r="O114" i="4"/>
  <c r="N114" i="4"/>
  <c r="M114" i="4"/>
  <c r="O113" i="4"/>
  <c r="N113" i="4"/>
  <c r="M113" i="4"/>
  <c r="O112" i="4"/>
  <c r="N112" i="4"/>
  <c r="M112" i="4"/>
  <c r="O111" i="4"/>
  <c r="N111" i="4"/>
  <c r="M111" i="4"/>
  <c r="O110" i="4"/>
  <c r="N110" i="4"/>
  <c r="M110" i="4"/>
  <c r="O109" i="4"/>
  <c r="N109" i="4"/>
  <c r="M109" i="4"/>
  <c r="O108" i="4"/>
  <c r="N108" i="4"/>
  <c r="M108" i="4"/>
  <c r="O107" i="4"/>
  <c r="N107" i="4"/>
  <c r="M107" i="4"/>
  <c r="O106" i="4"/>
  <c r="N106" i="4"/>
  <c r="M106" i="4"/>
  <c r="O105" i="4"/>
  <c r="N105" i="4"/>
  <c r="M105" i="4"/>
  <c r="O104" i="4"/>
  <c r="N104" i="4"/>
  <c r="M104" i="4"/>
  <c r="O103" i="4"/>
  <c r="N103" i="4"/>
  <c r="M103" i="4"/>
  <c r="O102" i="4"/>
  <c r="N102" i="4"/>
  <c r="M102" i="4"/>
  <c r="O101" i="4"/>
  <c r="N101" i="4"/>
  <c r="M101" i="4"/>
  <c r="O100" i="4"/>
  <c r="N100" i="4"/>
  <c r="M100" i="4"/>
  <c r="O99" i="4"/>
  <c r="N99" i="4"/>
  <c r="M99" i="4"/>
  <c r="O98" i="4"/>
  <c r="N98" i="4"/>
  <c r="M98" i="4"/>
  <c r="O97" i="4"/>
  <c r="N97" i="4"/>
  <c r="M97" i="4"/>
  <c r="O96" i="4"/>
  <c r="N96" i="4"/>
  <c r="M96" i="4"/>
  <c r="O95" i="4"/>
  <c r="N95" i="4"/>
  <c r="M95" i="4"/>
  <c r="O94" i="4"/>
  <c r="N94" i="4"/>
  <c r="M94" i="4"/>
  <c r="O93" i="4"/>
  <c r="N93" i="4"/>
  <c r="M93" i="4"/>
  <c r="O92" i="4"/>
  <c r="N92" i="4"/>
  <c r="M92" i="4"/>
  <c r="O91" i="4"/>
  <c r="N91" i="4"/>
  <c r="M91" i="4"/>
  <c r="O90" i="4"/>
  <c r="N90" i="4"/>
  <c r="M90" i="4"/>
  <c r="O89" i="4"/>
  <c r="N89" i="4"/>
  <c r="M89" i="4"/>
  <c r="O88" i="4"/>
  <c r="N88" i="4"/>
  <c r="M88" i="4"/>
  <c r="O87" i="4"/>
  <c r="N87" i="4"/>
  <c r="M87" i="4"/>
  <c r="O86" i="4"/>
  <c r="N86" i="4"/>
  <c r="M86" i="4"/>
  <c r="O85" i="4"/>
  <c r="N85" i="4"/>
  <c r="M85" i="4"/>
  <c r="O84" i="4"/>
  <c r="N84" i="4"/>
  <c r="M84" i="4"/>
  <c r="O83" i="4"/>
  <c r="N83" i="4"/>
  <c r="M83" i="4"/>
  <c r="O82" i="4"/>
  <c r="N82" i="4"/>
  <c r="M82" i="4"/>
  <c r="O81" i="4"/>
  <c r="N81" i="4"/>
  <c r="M81" i="4"/>
  <c r="O80" i="4"/>
  <c r="N80" i="4"/>
  <c r="M80" i="4"/>
  <c r="O79" i="4"/>
  <c r="N79" i="4"/>
  <c r="M79" i="4"/>
  <c r="O78" i="4"/>
  <c r="N78" i="4"/>
  <c r="M78" i="4"/>
  <c r="O77" i="4"/>
  <c r="N77" i="4"/>
  <c r="M77" i="4"/>
  <c r="O76" i="4"/>
  <c r="N76" i="4"/>
  <c r="M76" i="4"/>
  <c r="O75" i="4"/>
  <c r="N75" i="4"/>
  <c r="M75" i="4"/>
  <c r="O74" i="4"/>
  <c r="N74" i="4"/>
  <c r="M74" i="4"/>
  <c r="O73" i="4"/>
  <c r="N73" i="4"/>
  <c r="M73" i="4"/>
  <c r="O72" i="4"/>
  <c r="N72" i="4"/>
  <c r="M72" i="4"/>
  <c r="O71" i="4"/>
  <c r="N71" i="4"/>
  <c r="M71" i="4"/>
  <c r="O70" i="4"/>
  <c r="N70" i="4"/>
  <c r="M70" i="4"/>
  <c r="O69" i="4"/>
  <c r="N69" i="4"/>
  <c r="M69" i="4"/>
  <c r="O68" i="4"/>
  <c r="N68" i="4"/>
  <c r="M68" i="4"/>
  <c r="O67" i="4"/>
  <c r="N67" i="4"/>
  <c r="M67" i="4"/>
  <c r="O66" i="4"/>
  <c r="N66" i="4"/>
  <c r="M66" i="4"/>
  <c r="O65" i="4"/>
  <c r="N65" i="4"/>
  <c r="M65" i="4"/>
  <c r="O64" i="4"/>
  <c r="N64" i="4"/>
  <c r="M64" i="4"/>
  <c r="O63" i="4"/>
  <c r="N63" i="4"/>
  <c r="M63" i="4"/>
  <c r="O62" i="4"/>
  <c r="N62" i="4"/>
  <c r="M62" i="4"/>
  <c r="O61" i="4"/>
  <c r="N61" i="4"/>
  <c r="M61" i="4"/>
  <c r="O60" i="4"/>
  <c r="N60" i="4"/>
  <c r="M60" i="4"/>
  <c r="O59" i="4"/>
  <c r="N59" i="4"/>
  <c r="M59" i="4"/>
  <c r="O58" i="4"/>
  <c r="N58" i="4"/>
  <c r="M58" i="4"/>
  <c r="O57" i="4"/>
  <c r="N57" i="4"/>
  <c r="M57" i="4"/>
  <c r="O56" i="4"/>
  <c r="N56" i="4"/>
  <c r="M56" i="4"/>
  <c r="O55" i="4"/>
  <c r="N55" i="4"/>
  <c r="M55" i="4"/>
  <c r="O54" i="4"/>
  <c r="N54" i="4"/>
  <c r="M54" i="4"/>
  <c r="O53" i="4"/>
  <c r="N53" i="4"/>
  <c r="M53" i="4"/>
  <c r="O52" i="4"/>
  <c r="N52" i="4"/>
  <c r="M52" i="4"/>
  <c r="O51" i="4"/>
  <c r="N51" i="4"/>
  <c r="M51" i="4"/>
  <c r="O50" i="4"/>
  <c r="N50" i="4"/>
  <c r="M50" i="4"/>
  <c r="O49" i="4"/>
  <c r="N49" i="4"/>
  <c r="M49" i="4"/>
  <c r="O48" i="4"/>
  <c r="N48" i="4"/>
  <c r="M48" i="4"/>
  <c r="O47" i="4"/>
  <c r="N47" i="4"/>
  <c r="M47" i="4"/>
  <c r="O46" i="4"/>
  <c r="N46" i="4"/>
  <c r="M46" i="4"/>
  <c r="O45" i="4"/>
  <c r="N45" i="4"/>
  <c r="M45" i="4"/>
  <c r="O44" i="4"/>
  <c r="N44" i="4"/>
  <c r="M44" i="4"/>
  <c r="O43" i="4"/>
  <c r="N43" i="4"/>
  <c r="M43" i="4"/>
  <c r="O42" i="4"/>
  <c r="N42" i="4"/>
  <c r="M42" i="4"/>
  <c r="O41" i="4"/>
  <c r="N41" i="4"/>
  <c r="M41" i="4"/>
  <c r="O40" i="4"/>
  <c r="N40" i="4"/>
  <c r="M40" i="4"/>
  <c r="O39" i="4"/>
  <c r="N39" i="4"/>
  <c r="M39" i="4"/>
  <c r="O38" i="4"/>
  <c r="N38" i="4"/>
  <c r="M38" i="4"/>
  <c r="O37" i="4"/>
  <c r="N37" i="4"/>
  <c r="M37" i="4"/>
  <c r="O36" i="4"/>
  <c r="N36" i="4"/>
  <c r="M36" i="4"/>
  <c r="O35" i="4"/>
  <c r="N35" i="4"/>
  <c r="M35" i="4"/>
  <c r="O34" i="4"/>
  <c r="N34" i="4"/>
  <c r="M34" i="4"/>
  <c r="O33" i="4"/>
  <c r="N33" i="4"/>
  <c r="M33" i="4"/>
  <c r="O32" i="4"/>
  <c r="N32" i="4"/>
  <c r="M32" i="4"/>
  <c r="O31" i="4"/>
  <c r="N31" i="4"/>
  <c r="M31" i="4"/>
  <c r="O30" i="4"/>
  <c r="N30" i="4"/>
  <c r="M30" i="4"/>
  <c r="O29" i="4"/>
  <c r="N29" i="4"/>
  <c r="M29" i="4"/>
  <c r="O28" i="4"/>
  <c r="N28" i="4"/>
  <c r="M28" i="4"/>
  <c r="O27" i="4"/>
  <c r="N27" i="4"/>
  <c r="M27" i="4"/>
  <c r="O26" i="4"/>
  <c r="N26" i="4"/>
  <c r="M26" i="4"/>
  <c r="O25" i="4"/>
  <c r="N25" i="4"/>
  <c r="M25" i="4"/>
  <c r="O24" i="4"/>
  <c r="N24" i="4"/>
  <c r="M24" i="4"/>
  <c r="O23" i="4"/>
  <c r="N23" i="4"/>
  <c r="M23" i="4"/>
  <c r="O22" i="4"/>
  <c r="N22" i="4"/>
  <c r="M22" i="4"/>
  <c r="O21" i="4"/>
  <c r="N21" i="4"/>
  <c r="M21" i="4"/>
  <c r="O20" i="4"/>
  <c r="N20" i="4"/>
  <c r="M20" i="4"/>
  <c r="O19" i="4"/>
  <c r="N19" i="4"/>
  <c r="M19" i="4"/>
  <c r="O18" i="4"/>
  <c r="N18" i="4"/>
  <c r="M18" i="4"/>
  <c r="O17" i="4"/>
  <c r="N17" i="4"/>
  <c r="M17" i="4"/>
  <c r="O16" i="4"/>
  <c r="N16" i="4"/>
  <c r="M16" i="4"/>
  <c r="O15" i="4"/>
  <c r="N15" i="4"/>
  <c r="M15" i="4"/>
  <c r="O14" i="4"/>
  <c r="Q8" i="5" s="1"/>
  <c r="M14" i="4"/>
  <c r="N14" i="4" s="1"/>
  <c r="O13" i="4"/>
  <c r="Q15" i="5" s="1"/>
  <c r="N13" i="4"/>
  <c r="M13" i="4"/>
  <c r="O12" i="4"/>
  <c r="Q10" i="5" s="1"/>
  <c r="M12" i="4"/>
  <c r="N12" i="4" s="1"/>
  <c r="O11" i="4"/>
  <c r="Q14" i="5" s="1"/>
  <c r="M11" i="4"/>
  <c r="N11" i="4" s="1"/>
  <c r="O10" i="4"/>
  <c r="Q13" i="5" s="1"/>
  <c r="M10" i="4"/>
  <c r="N10" i="4" s="1"/>
  <c r="O9" i="4"/>
  <c r="M9" i="4"/>
  <c r="N9" i="4" s="1"/>
  <c r="O8" i="4"/>
  <c r="Q17" i="5" s="1"/>
  <c r="M8" i="4"/>
  <c r="N8" i="4" s="1"/>
  <c r="O7" i="4"/>
  <c r="Q9" i="5" s="1"/>
  <c r="M7" i="4"/>
  <c r="N7" i="4" s="1"/>
  <c r="O6" i="4"/>
  <c r="Q6" i="5" s="1"/>
  <c r="M6" i="4"/>
  <c r="N6" i="4" s="1"/>
  <c r="O5" i="4"/>
  <c r="Q5" i="5" s="1"/>
  <c r="M5" i="4"/>
  <c r="N5" i="4" s="1"/>
  <c r="D7" i="12" l="1"/>
  <c r="E7" i="12" s="1"/>
  <c r="Q7" i="5"/>
  <c r="Q16" i="5"/>
  <c r="D9" i="12"/>
  <c r="E9" i="12" s="1"/>
  <c r="B11" i="13"/>
  <c r="B8" i="13"/>
  <c r="B16" i="13" s="1"/>
  <c r="D5" i="12"/>
  <c r="E5" i="12" s="1"/>
  <c r="B6" i="13"/>
  <c r="O5" i="10"/>
  <c r="B9" i="13"/>
  <c r="B17" i="13" s="1"/>
  <c r="B10" i="13"/>
  <c r="B18" i="13" s="1"/>
  <c r="B15" i="13" l="1"/>
  <c r="B12" i="13"/>
</calcChain>
</file>

<file path=xl/sharedStrings.xml><?xml version="1.0" encoding="utf-8"?>
<sst xmlns="http://schemas.openxmlformats.org/spreadsheetml/2006/main" count="1276" uniqueCount="817">
  <si>
    <t>Шаблон перехода от бизнес-логики и пользовательских сценариев к страницам и экранам</t>
  </si>
  <si>
    <t>Рабочая книга предназначена для проектирования состава сайта или мобильного приложения на основе результатов анализа проблем, конкурентов, ценностного предложения, цифрового товара, бизнес-модели и пользовательских сценариев.</t>
  </si>
  <si>
    <t>Шаг</t>
  </si>
  <si>
    <t>Действие</t>
  </si>
  <si>
    <t>Что сделать</t>
  </si>
  <si>
    <t>1</t>
  </si>
  <si>
    <t>Собрать исходные выводы</t>
  </si>
  <si>
    <t>Перенесите ключевые выводы из анализа проблем, конкурентов, отзывов, бизнес-модели и пользовательских сценариев в лист «Банк_выводов».</t>
  </si>
  <si>
    <t>2</t>
  </si>
  <si>
    <t>Зафиксировать роли</t>
  </si>
  <si>
    <t>Опишите пользовательские роли и сегменты на листе «Роли_и_сегменты». Эти роли используются дальше для сценариев, страниц и экранов.</t>
  </si>
  <si>
    <t>3</t>
  </si>
  <si>
    <t>Описать сценарии</t>
  </si>
  <si>
    <t>На листе «Пользовательские_сценарии» заполните пользовательские цели, потоки, данные, критичность, частоту и сложность.</t>
  </si>
  <si>
    <t>4</t>
  </si>
  <si>
    <t>Вывести страницы и экраны</t>
  </si>
  <si>
    <t>На листе «Страницы_и_экраны» каждая интерфейсная единица должна иметь связанный сценарий, задачу пользователя, действие и источник требования.</t>
  </si>
  <si>
    <t>5</t>
  </si>
  <si>
    <t>Проверить покрытие</t>
  </si>
  <si>
    <t>Лист «Матрица_сценарий_интерфейс» связывает сценарии со страницами и экранами. По нему рассчитывается покрытие сценариев.</t>
  </si>
  <si>
    <t>6</t>
  </si>
  <si>
    <t>Описать навигацию и состояния</t>
  </si>
  <si>
    <t>Заполните переходы, состояния, ошибки, пустые состояния и сообщения пользователю. Это снижает риск разрывов сценария.</t>
  </si>
  <si>
    <t>7</t>
  </si>
  <si>
    <t>Сформировать паспорта</t>
  </si>
  <si>
    <t>На листе «Паспорт_экрана» оформите итоговое описание каждой страницы или экрана для передачи в проектирование прототипа и техническое задание.</t>
  </si>
  <si>
    <t>8</t>
  </si>
  <si>
    <t>Приоритизировать</t>
  </si>
  <si>
    <t>Используйте лист «Приоритизация» для выбора первой версии, следующих выпусков и отложенных интерфейсных единиц.</t>
  </si>
  <si>
    <t>9</t>
  </si>
  <si>
    <t>Проверить готовность</t>
  </si>
  <si>
    <t>Листы «Проверка_связности» и «Дашборд» показывают полноту и согласованность проектной логики.</t>
  </si>
  <si>
    <t>Банк исходных выводов из всех видов анализа</t>
  </si>
  <si>
    <t>Каждая строка — доказанный вывод, который может повлиять на состав страниц, экранов, навигации, контента или состояний.</t>
  </si>
  <si>
    <t>ID вывода</t>
  </si>
  <si>
    <t>Вид анализа</t>
  </si>
  <si>
    <t>Объект анализа</t>
  </si>
  <si>
    <t>Вывод / факт</t>
  </si>
  <si>
    <t>Доказательство / ссылка</t>
  </si>
  <si>
    <t>Надежность 1–5</t>
  </si>
  <si>
    <t>Значимость 1–5</t>
  </si>
  <si>
    <t>Влияние на интерфейс</t>
  </si>
  <si>
    <t>Связанные роли</t>
  </si>
  <si>
    <t>Связанные сценарии</t>
  </si>
  <si>
    <t>Решение для страниц/экранов</t>
  </si>
  <si>
    <t>F-001</t>
  </si>
  <si>
    <t>Анализ отзывов</t>
  </si>
  <si>
    <t>ROLE-001</t>
  </si>
  <si>
    <t>SC-003</t>
  </si>
  <si>
    <t>F-002</t>
  </si>
  <si>
    <t>Анализ конкурентов</t>
  </si>
  <si>
    <t>ROLE-002</t>
  </si>
  <si>
    <t>SC-001</t>
  </si>
  <si>
    <t>Роли и пользовательские сегменты</t>
  </si>
  <si>
    <t>Роли используются как связующее звено между бизнес-логикой, сценариями, страницами и экранами.</t>
  </si>
  <si>
    <t>Роль_ID</t>
  </si>
  <si>
    <t>Роль / сегмент</t>
  </si>
  <si>
    <t>Цель роли</t>
  </si>
  <si>
    <t>Основная проблема</t>
  </si>
  <si>
    <t>Ожидаемая ценность</t>
  </si>
  <si>
    <t>Цифровая зрелость</t>
  </si>
  <si>
    <t>Частота использования</t>
  </si>
  <si>
    <t>Критичность задачи 1–5</t>
  </si>
  <si>
    <t>Канал входа</t>
  </si>
  <si>
    <t>Примечание</t>
  </si>
  <si>
    <t>Поиск</t>
  </si>
  <si>
    <t>Новый пользователь</t>
  </si>
  <si>
    <t>Реклама</t>
  </si>
  <si>
    <t>Пользовательские сценарии</t>
  </si>
  <si>
    <t>Сценарий должен иметь пользовательскую цель, поток действий, бизнес-результат и связку с интерфейсными единицами.</t>
  </si>
  <si>
    <t>Сценарий_ID</t>
  </si>
  <si>
    <t>Этап пути</t>
  </si>
  <si>
    <t>Пользовательская цель</t>
  </si>
  <si>
    <t>Начальный триггер</t>
  </si>
  <si>
    <t>Основной поток</t>
  </si>
  <si>
    <t>Альтернативный поток</t>
  </si>
  <si>
    <t>Данные / контент</t>
  </si>
  <si>
    <t>Бизнес-результат</t>
  </si>
  <si>
    <t>Критичность 1–5</t>
  </si>
  <si>
    <t>Частота 1–5</t>
  </si>
  <si>
    <t>Сложность 1–5</t>
  </si>
  <si>
    <t>Кол-во страниц/экранов</t>
  </si>
  <si>
    <t>Статус покрытия</t>
  </si>
  <si>
    <t>Приоритет сценария</t>
  </si>
  <si>
    <t>Первичный интерес</t>
  </si>
  <si>
    <t>SC-002</t>
  </si>
  <si>
    <t>Регистрация</t>
  </si>
  <si>
    <t>Страницы сайта и экраны приложения</t>
  </si>
  <si>
    <t>Каждая интерфейсная единица должна выводиться из сценария, проблемы, ценностного предложения или требования бизнес-модели.</t>
  </si>
  <si>
    <t>Unit_ID</t>
  </si>
  <si>
    <t>Тип</t>
  </si>
  <si>
    <t>Название</t>
  </si>
  <si>
    <t>Назначение</t>
  </si>
  <si>
    <t>Связанный сценарий_ID</t>
  </si>
  <si>
    <t>Главная задача пользователя</t>
  </si>
  <si>
    <t>Ключевое действие</t>
  </si>
  <si>
    <t>Источник требования</t>
  </si>
  <si>
    <t>Компоненты</t>
  </si>
  <si>
    <t>Состояния</t>
  </si>
  <si>
    <t>Ошибки / исключения</t>
  </si>
  <si>
    <t>Нужна авторизация</t>
  </si>
  <si>
    <t>Монетизационная роль</t>
  </si>
  <si>
    <t>Оценка приоритета</t>
  </si>
  <si>
    <t>Статус</t>
  </si>
  <si>
    <t>Доказательность 1–5</t>
  </si>
  <si>
    <t>Полнота описания</t>
  </si>
  <si>
    <t>Решение</t>
  </si>
  <si>
    <t>U-001</t>
  </si>
  <si>
    <t>Страница сайта</t>
  </si>
  <si>
    <t>Главная страница</t>
  </si>
  <si>
    <t>Нет</t>
  </si>
  <si>
    <t>Подведение к оплате</t>
  </si>
  <si>
    <t>Требует уточнения</t>
  </si>
  <si>
    <t>Оставить</t>
  </si>
  <si>
    <t>U-002</t>
  </si>
  <si>
    <t>Экран приложения</t>
  </si>
  <si>
    <t>Удержание</t>
  </si>
  <si>
    <t>В проектировании</t>
  </si>
  <si>
    <t>Матрица связи сценариев со страницами и экранами</t>
  </si>
  <si>
    <t>Используется для проверки покрытия сценариев и исключения интерфейсных единиц без понятной задачи.</t>
  </si>
  <si>
    <t>Связь_ID</t>
  </si>
  <si>
    <t>Тип связи</t>
  </si>
  <si>
    <t>Обязательность</t>
  </si>
  <si>
    <t>Порядок в сценарии</t>
  </si>
  <si>
    <t>Предыдущее Unit_ID</t>
  </si>
  <si>
    <t>Следующее Unit_ID</t>
  </si>
  <si>
    <t>Комментарий</t>
  </si>
  <si>
    <t>M-001</t>
  </si>
  <si>
    <t>Основная</t>
  </si>
  <si>
    <t>Обязательно для первой версии</t>
  </si>
  <si>
    <t>Главная страница ведет к регистрации или демонстрации</t>
  </si>
  <si>
    <t>M-002</t>
  </si>
  <si>
    <t>Экран регистрации запускает пользовательскую работу с товаром</t>
  </si>
  <si>
    <t>Навигация и карта переходов</t>
  </si>
  <si>
    <t>Каждый переход описывает действие, условие, направление и риск разрыва пользовательского сценария.</t>
  </si>
  <si>
    <t>Переход_ID</t>
  </si>
  <si>
    <t>Откуда Unit_ID</t>
  </si>
  <si>
    <t>Куда Unit_ID</t>
  </si>
  <si>
    <t>Событие / действие</t>
  </si>
  <si>
    <t>Условие</t>
  </si>
  <si>
    <t>Тип перехода</t>
  </si>
  <si>
    <t>Риск разрыва 1–5</t>
  </si>
  <si>
    <t>N-001</t>
  </si>
  <si>
    <t>Основной</t>
  </si>
  <si>
    <t>Состояния, ошибки и исключения</t>
  </si>
  <si>
    <t>Для каждой ключевой страницы или экрана фиксируются нормальные, пустые, загрузочные, ошибочные и успешные состояния.</t>
  </si>
  <si>
    <t>State_ID</t>
  </si>
  <si>
    <t>Нормальное состояние</t>
  </si>
  <si>
    <t>Пустое состояние</t>
  </si>
  <si>
    <t>Загрузка</t>
  </si>
  <si>
    <t>Ошибка валидации</t>
  </si>
  <si>
    <t>Ошибка сети/сервера</t>
  </si>
  <si>
    <t>Нет прав</t>
  </si>
  <si>
    <t>Успешное завершение</t>
  </si>
  <si>
    <t>Сообщение пользователю</t>
  </si>
  <si>
    <t>Полнота состояний</t>
  </si>
  <si>
    <t>S-001</t>
  </si>
  <si>
    <t>Не применимо</t>
  </si>
  <si>
    <t>S-002</t>
  </si>
  <si>
    <t>Контент и данные для страниц и экранов</t>
  </si>
  <si>
    <t>Лист нужен для перевода сценариев в состав данных, текстов, полей, правил отображения и источников информации.</t>
  </si>
  <si>
    <t>Элемент контента / данных</t>
  </si>
  <si>
    <t>Источник данных</t>
  </si>
  <si>
    <t>Частота обновления</t>
  </si>
  <si>
    <t>Персонализация</t>
  </si>
  <si>
    <t>Правило отображения</t>
  </si>
  <si>
    <t>Формат</t>
  </si>
  <si>
    <t>Ответственный</t>
  </si>
  <si>
    <t>Ценностное предложение</t>
  </si>
  <si>
    <t>Форма</t>
  </si>
  <si>
    <t>Паспорт страницы или экрана</t>
  </si>
  <si>
    <t>Итоговая форма описания интерфейсной единицы для прототипирования, постановки задачи и проверки связности.</t>
  </si>
  <si>
    <t>Главная задача</t>
  </si>
  <si>
    <t>Основное действие</t>
  </si>
  <si>
    <t>Состав блоков</t>
  </si>
  <si>
    <t>Навигация</t>
  </si>
  <si>
    <t>Метрики успеха</t>
  </si>
  <si>
    <t>Риски</t>
  </si>
  <si>
    <t>Полнота паспорта</t>
  </si>
  <si>
    <t>Вердикт</t>
  </si>
  <si>
    <t>Приоритизация страниц, экранов и интерфейсных инициатив</t>
  </si>
  <si>
    <t>Итоговый балл помогает определить состав первой версии и очередность следующих выпусков.</t>
  </si>
  <si>
    <t>Ценность для пользователя 1–5</t>
  </si>
  <si>
    <t>Влияние на бизнес 1–5</t>
  </si>
  <si>
    <t>Частота использования 1–5</t>
  </si>
  <si>
    <t>Риск без реализации 1–5</t>
  </si>
  <si>
    <t>Итоговый балл</t>
  </si>
  <si>
    <t>Класс приоритета</t>
  </si>
  <si>
    <t>Основание</t>
  </si>
  <si>
    <t>Проверка связности проектной логики</t>
  </si>
  <si>
    <t>Лист показывает, насколько интерфейсные единицы выведены из анализа и связаны со сценариями, навигацией, состояниями и бизнес-моделью.</t>
  </si>
  <si>
    <t>Проверка</t>
  </si>
  <si>
    <t>Описание</t>
  </si>
  <si>
    <t>Расчет / критерий</t>
  </si>
  <si>
    <t>Результат</t>
  </si>
  <si>
    <t>Что исправить</t>
  </si>
  <si>
    <t>Покрытие сценариев</t>
  </si>
  <si>
    <t>У каждого значимого сценария есть хотя бы одна страница или экран</t>
  </si>
  <si>
    <t>Сценарии с покрытием / всего сценариев</t>
  </si>
  <si>
    <t>Для сценариев без покрытия добавить интерфейсную единицу или исключить сценарий</t>
  </si>
  <si>
    <t>Интерфейсные единицы без сценария</t>
  </si>
  <si>
    <t>Не должно быть страниц и экранов без связанного сценария</t>
  </si>
  <si>
    <t>Количество строк с пустым сценарием</t>
  </si>
  <si>
    <t>Указать сценарий или удалить лишнюю единицу</t>
  </si>
  <si>
    <t>Полнота паспортов</t>
  </si>
  <si>
    <t>Паспорта ключевых страниц и экранов должны быть заполнены не менее чем на 85%</t>
  </si>
  <si>
    <t>Средняя полнота паспортов</t>
  </si>
  <si>
    <t>Заполнить назначение, задачи, действия, состояния, навигацию, метрики</t>
  </si>
  <si>
    <t>Ключевые страницы и экраны должны иметь переходы</t>
  </si>
  <si>
    <t>Количество описанных переходов</t>
  </si>
  <si>
    <t>Добавить переходы между интерфейсными единицами</t>
  </si>
  <si>
    <t>Состояния и ошибки</t>
  </si>
  <si>
    <t>Для ключевых страниц и экранов описаны состояния и исключения</t>
  </si>
  <si>
    <t>Средняя полнота состояний</t>
  </si>
  <si>
    <t>Заполнить пустые, загрузочные, ошибочные и успешные состояния</t>
  </si>
  <si>
    <t>Монетизационная связность</t>
  </si>
  <si>
    <t>Хотя бы одна интерфейсная единица должна вести к монетизации или поддерживать ее</t>
  </si>
  <si>
    <t>Количество единиц с монетизационной ролью</t>
  </si>
  <si>
    <t>Уточнить роль экранов в оплате, тарифах, удержании или снижении затрат</t>
  </si>
  <si>
    <t>Доказательность</t>
  </si>
  <si>
    <t>У интерфейсных единиц есть источник требования</t>
  </si>
  <si>
    <t>Доля строк с источником требования</t>
  </si>
  <si>
    <t>Добавить ссылки на выводы, сценарии, отзывы, конкурентов или бизнес-модель</t>
  </si>
  <si>
    <t>Дашборд готовности перехода к страницам и экранам</t>
  </si>
  <si>
    <t>Показывает готовность проектной логики: покрытие сценариев, полноту паспортов, состояние навигации, наличие состояний и приоритизацию.</t>
  </si>
  <si>
    <t>Показатель</t>
  </si>
  <si>
    <t>Значение</t>
  </si>
  <si>
    <t>Интерпретация</t>
  </si>
  <si>
    <t>Всего сценариев</t>
  </si>
  <si>
    <t>Количество описанных пользовательских сценариев</t>
  </si>
  <si>
    <t>Покрытие сценариев страницами/экранами</t>
  </si>
  <si>
    <t>Доля сценариев, для которых определена интерфейсная единица</t>
  </si>
  <si>
    <t>Всего страниц и экранов</t>
  </si>
  <si>
    <t>Общее количество интерфейсных единиц</t>
  </si>
  <si>
    <t>Средняя полнота описания страниц/экранов</t>
  </si>
  <si>
    <t>Насколько заполнены назначения, данные, действия, состояния и требования</t>
  </si>
  <si>
    <t>Готовность к прототипированию и постановке задачи</t>
  </si>
  <si>
    <t>Наличие нормальных, пустых, загрузочных и ошибочных состояний</t>
  </si>
  <si>
    <t>Интерфейсные единицы P1</t>
  </si>
  <si>
    <t>Кандидаты в первую версию</t>
  </si>
  <si>
    <t>Интегральная готовность</t>
  </si>
  <si>
    <t>Средняя готовность к переходу в прототипирование</t>
  </si>
  <si>
    <t>Блок проверки</t>
  </si>
  <si>
    <t>Готовность</t>
  </si>
  <si>
    <t>Описание страниц/экранов</t>
  </si>
  <si>
    <t>Паспорта</t>
  </si>
  <si>
    <t>Справочники для выпадающих списков</t>
  </si>
  <si>
    <t>Тип интерфейсной единицы</t>
  </si>
  <si>
    <t>ДаНет</t>
  </si>
  <si>
    <t>Роль в монетизации</t>
  </si>
  <si>
    <t>Приоритет</t>
  </si>
  <si>
    <t>Анализ проблем</t>
  </si>
  <si>
    <t>Осведомление</t>
  </si>
  <si>
    <t>Не начато</t>
  </si>
  <si>
    <t>Да</t>
  </si>
  <si>
    <t>Прямое получение оплаты</t>
  </si>
  <si>
    <t>P1 — первая версия</t>
  </si>
  <si>
    <t>Поддерживающая</t>
  </si>
  <si>
    <t>Желательно для первой версии</t>
  </si>
  <si>
    <t>Объединить</t>
  </si>
  <si>
    <t>Возврат</t>
  </si>
  <si>
    <t>P2 — следующий выпуск</t>
  </si>
  <si>
    <t>Оценка решения</t>
  </si>
  <si>
    <t>Общий модуль</t>
  </si>
  <si>
    <t>Альтернативная</t>
  </si>
  <si>
    <t>Следующий выпуск</t>
  </si>
  <si>
    <t>Частично</t>
  </si>
  <si>
    <t>Разделить</t>
  </si>
  <si>
    <t>Социальные сети</t>
  </si>
  <si>
    <t>Ветвление</t>
  </si>
  <si>
    <t>P3 — можно отложить</t>
  </si>
  <si>
    <t>Анализ цифрового товара</t>
  </si>
  <si>
    <t>Системное состояние</t>
  </si>
  <si>
    <t>Сервисная</t>
  </si>
  <si>
    <t>Отложить</t>
  </si>
  <si>
    <t>В прототипе</t>
  </si>
  <si>
    <t>Уточнить</t>
  </si>
  <si>
    <t>Рекомендация</t>
  </si>
  <si>
    <t>Повышение ценности тарифа</t>
  </si>
  <si>
    <t>Переход после ошибки</t>
  </si>
  <si>
    <t>Не включать</t>
  </si>
  <si>
    <t>Настройка</t>
  </si>
  <si>
    <t>Монетизационная</t>
  </si>
  <si>
    <t>Исключить</t>
  </si>
  <si>
    <t>Готово к ТЗ</t>
  </si>
  <si>
    <t>Партнерский канал</t>
  </si>
  <si>
    <t>Снижение затрат</t>
  </si>
  <si>
    <t>Переход после оплаты</t>
  </si>
  <si>
    <t>Бизнес-модель Канвас</t>
  </si>
  <si>
    <t>Основное использование</t>
  </si>
  <si>
    <t>Личный кабинет</t>
  </si>
  <si>
    <t>Контрольная</t>
  </si>
  <si>
    <t>Исключено</t>
  </si>
  <si>
    <t>Перенести в следующий выпуск</t>
  </si>
  <si>
    <t>Прямой вход</t>
  </si>
  <si>
    <t>Не связана напрямую</t>
  </si>
  <si>
    <t>Внешний переход</t>
  </si>
  <si>
    <t>Бизнес-логика</t>
  </si>
  <si>
    <t>Оплата</t>
  </si>
  <si>
    <t>Платежный экран</t>
  </si>
  <si>
    <t>Уведомление</t>
  </si>
  <si>
    <t>Системный переход</t>
  </si>
  <si>
    <t>Пользовательский сценарий</t>
  </si>
  <si>
    <t>Поддержка</t>
  </si>
  <si>
    <t>Внутренний переход</t>
  </si>
  <si>
    <t>Повторное использование</t>
  </si>
  <si>
    <t>Отток/возврат</t>
  </si>
  <si>
    <t>Анализ конкурентов по сайтам</t>
  </si>
  <si>
    <t>Тарифы 5 конкурентов</t>
  </si>
  <si>
    <t>Страница тарифов с ценой за пользователя есть у 5 из 8 конкурентов</t>
  </si>
  <si>
    <t>ЛР5: лист 10_Стандарт</t>
  </si>
  <si>
    <t>Нужна страница тарифов Free и Pro</t>
  </si>
  <si>
    <t>ROLE-001, ROLE-002</t>
  </si>
  <si>
    <t>SC-002, SC-008</t>
  </si>
  <si>
    <t>Включить страницу тарифов в первую версию</t>
  </si>
  <si>
    <t>Анализ цифрового товара и стандарта</t>
  </si>
  <si>
    <t>Рыночный стандарт</t>
  </si>
  <si>
    <t>Экспорт у 8 из 8, документация у 6 из 8, вход у 5 из 8, совместная работа у 6 из 8</t>
  </si>
  <si>
    <t>ЛР5: лист 07_Стандарт_рынка</t>
  </si>
  <si>
    <t>Нужны экспорт, документация, вход</t>
  </si>
  <si>
    <t>ROLE-002, ROLE-003</t>
  </si>
  <si>
    <t>SC-003, SC-006, SC-010</t>
  </si>
  <si>
    <t>Включить в первую версию экран экспорта и вход; документацию - важная страница</t>
  </si>
  <si>
    <t>F-003</t>
  </si>
  <si>
    <t>Конкурентный пробел</t>
  </si>
  <si>
    <t>IDEF0, DFD, сети Петри не найдены у 8 конкурентов</t>
  </si>
  <si>
    <t>ЛР5: лист 04_Кано</t>
  </si>
  <si>
    <t>Нужен выбор нотации и страница возможностей с нотациями</t>
  </si>
  <si>
    <t>ROLE-003</t>
  </si>
  <si>
    <t>SC-005</t>
  </si>
  <si>
    <t>Показать нотации на странице возможностей и в выборе нотации</t>
  </si>
  <si>
    <t>F-004</t>
  </si>
  <si>
    <t>Анализ бизнес-моделей конкурентов</t>
  </si>
  <si>
    <t>Каналы</t>
  </si>
  <si>
    <t>Органический поиск 47-59 % трафика у текстовых инструментов</t>
  </si>
  <si>
    <t>Similarweb Pro (ЛР4)</t>
  </si>
  <si>
    <t>Главная и страница возможностей должны отвечать на поисковые запросы по нотациям</t>
  </si>
  <si>
    <t>Главная и страницы нотаций для поиска</t>
  </si>
  <si>
    <t>F-005</t>
  </si>
  <si>
    <t>Анализ проблем клиентов</t>
  </si>
  <si>
    <t>Проблема P-001</t>
  </si>
  <si>
    <t>Сложность синтаксиса текстовых языков</t>
  </si>
  <si>
    <t>6.1; опрос 27 студентов (данные сгенерированы)</t>
  </si>
  <si>
    <t>Нужны примеры, подсказки об ошибках и ИИ-ассистент</t>
  </si>
  <si>
    <t>SC-004, SC-009</t>
  </si>
  <si>
    <t>Включить примеры в редактор; подсказки - во вторую версию</t>
  </si>
  <si>
    <t>F-006</t>
  </si>
  <si>
    <t>Анализ монетизации</t>
  </si>
  <si>
    <t>Единица монетизации</t>
  </si>
  <si>
    <t>Подписка Pro 40 USD в год за пользователя; Free без оплаты</t>
  </si>
  <si>
    <t>6.1: M-001; 6.2</t>
  </si>
  <si>
    <t>Нужны экран подписки и оплата</t>
  </si>
  <si>
    <t>ROLE-004</t>
  </si>
  <si>
    <t>SC-008</t>
  </si>
  <si>
    <t>Оплата Pro в первой версии, если выбран платёжный провайдер</t>
  </si>
  <si>
    <t>F-007</t>
  </si>
  <si>
    <t>6.3: сценарии</t>
  </si>
  <si>
    <t>Критический сценарий: оформление подписки; высокие - первая диаграмма и экспорт</t>
  </si>
  <si>
    <t>6.3: Excel/6_3_...</t>
  </si>
  <si>
    <t>Каждому сценарию нужна страница или экран</t>
  </si>
  <si>
    <t>ROLE-001 - ROLE-005</t>
  </si>
  <si>
    <t>SC-001 - SC-010</t>
  </si>
  <si>
    <t>Составить реестр единиц по сценариям</t>
  </si>
  <si>
    <t>F-008</t>
  </si>
  <si>
    <t>Отзывы и опрос</t>
  </si>
  <si>
    <t>Опрос студентов</t>
  </si>
  <si>
    <t>Коллаборация важна 26 из 27, экспорт PNG 27 из 27</t>
  </si>
  <si>
    <t>ЛР4: survey_students.csv</t>
  </si>
  <si>
    <t>Экспорт - обязательный экран; коллаборация - позже</t>
  </si>
  <si>
    <t>SC-006</t>
  </si>
  <si>
    <t>Экспорт в первую версию, коллаборация - во вторую</t>
  </si>
  <si>
    <t>Посетитель</t>
  </si>
  <si>
    <t>Найти инструмент для диаграммы нотации</t>
  </si>
  <si>
    <t>Не ясно, какой инструмент поддерживает нужную нотацию</t>
  </si>
  <si>
    <t>Быстро убедиться в наборе нотаций и цене</t>
  </si>
  <si>
    <t>Поиск Google и Яндекс</t>
  </si>
  <si>
    <t>Студент или аналитик до регистрации</t>
  </si>
  <si>
    <t>Получить первую диаграмму</t>
  </si>
  <si>
    <t>Корректная диаграмма из текста</t>
  </si>
  <si>
    <t>Сайт, регистрация</t>
  </si>
  <si>
    <t>Основной сегмент Free</t>
  </si>
  <si>
    <t>Активный пользователь</t>
  </si>
  <si>
    <t>Регулярно строить диаграммы разных нотаций</t>
  </si>
  <si>
    <t>Нужны несколько инструментов</t>
  </si>
  <si>
    <t>Все нотации в одном месте</t>
  </si>
  <si>
    <t>Студенты старших курсов и аналитики</t>
  </si>
  <si>
    <t>Платящий клиент</t>
  </si>
  <si>
    <t>Снять ограничения Free</t>
  </si>
  <si>
    <t>Ограничения бесплатного уровня</t>
  </si>
  <si>
    <t>Профессиональный результат</t>
  </si>
  <si>
    <t>Прямой заход, кабинет</t>
  </si>
  <si>
    <t>Подписка Pro</t>
  </si>
  <si>
    <t>ROLE-005</t>
  </si>
  <si>
    <t>Внутренний администратор</t>
  </si>
  <si>
    <t>Обрабатывать обращения и ошибки</t>
  </si>
  <si>
    <t>Обращения по нотациям и оплате</t>
  </si>
  <si>
    <t>Качество сервиса</t>
  </si>
  <si>
    <t>Роль команды проекта</t>
  </si>
  <si>
    <t>Вход в сценарий</t>
  </si>
  <si>
    <t>Задание по проектированию, поиск</t>
  </si>
  <si>
    <t>Запрос в поиске, переход на главную, страница возможностей</t>
  </si>
  <si>
    <t>Выбор другого инструмента</t>
  </si>
  <si>
    <t>Названия нотаций, примеры</t>
  </si>
  <si>
    <t>Рост трафика</t>
  </si>
  <si>
    <t>Проверка соответствия</t>
  </si>
  <si>
    <t>Сравнить NotaCode с другими инструментами и увидеть цену</t>
  </si>
  <si>
    <t>Сомнение в выборе</t>
  </si>
  <si>
    <t>Страница возможностей, тарифы, документация</t>
  </si>
  <si>
    <t>Уход к draw.io или PlantUML</t>
  </si>
  <si>
    <t>Тарифы, сравнение</t>
  </si>
  <si>
    <t>Конверсия в регистрацию</t>
  </si>
  <si>
    <t>Принятие решения</t>
  </si>
  <si>
    <t>Зарегистрироваться в бесплатном уровне</t>
  </si>
  <si>
    <t>Решение попробовать</t>
  </si>
  <si>
    <t>Кнопка входа, форма, подтверждение, переход в редактор</t>
  </si>
  <si>
    <t>Отказ от регистрации</t>
  </si>
  <si>
    <t>Почта, пароль</t>
  </si>
  <si>
    <t>Активация</t>
  </si>
  <si>
    <t>SC-004</t>
  </si>
  <si>
    <t>Первое получение ценности</t>
  </si>
  <si>
    <t>Построить первую диаграмму из текста</t>
  </si>
  <si>
    <t>Задание на диаграмму</t>
  </si>
  <si>
    <t>Выбор нотации, ввод текста, предпросмотр, правка</t>
  </si>
  <si>
    <t>Ошибка синтаксиса, подсказка</t>
  </si>
  <si>
    <t>Текст диаграммы</t>
  </si>
  <si>
    <t>Первое значимое действие</t>
  </si>
  <si>
    <t>Построить диаграмму IDEF0 или DFD</t>
  </si>
  <si>
    <t>Задание по стандарту моделирования</t>
  </si>
  <si>
    <t>Выбор нотации, ввод текста, предпросмотр</t>
  </si>
  <si>
    <t>Достигнут лимит проектов Free</t>
  </si>
  <si>
    <t>Отличие от конкурентов</t>
  </si>
  <si>
    <t>Экспортировать диаграмму в PNG или SVG</t>
  </si>
  <si>
    <t>Оформление работы</t>
  </si>
  <si>
    <t>Кнопка экспорта, выбор формата, скачивание</t>
  </si>
  <si>
    <t>Формат недоступен</t>
  </si>
  <si>
    <t>Диаграмма, формат</t>
  </si>
  <si>
    <t>Удовлетворённость</t>
  </si>
  <si>
    <t>SC-007</t>
  </si>
  <si>
    <t>Регулярное использование</t>
  </si>
  <si>
    <t>Сохранить диаграмму и вернуться к ней</t>
  </si>
  <si>
    <t>Возврат к заданию</t>
  </si>
  <si>
    <t>Вход, список диаграмм, открытие</t>
  </si>
  <si>
    <t>Потеря версии</t>
  </si>
  <si>
    <t>Сохранённые диаграммы</t>
  </si>
  <si>
    <t>Продление и развитие</t>
  </si>
  <si>
    <t>Оформить подписку Pro</t>
  </si>
  <si>
    <t>Достигнут лимит Free</t>
  </si>
  <si>
    <t>Тарифы, выбор Pro, оплата 40 USD в год</t>
  </si>
  <si>
    <t>Ошибка оплаты</t>
  </si>
  <si>
    <t>Платёжные данные</t>
  </si>
  <si>
    <t>Выручка Pro</t>
  </si>
  <si>
    <t>SC-009</t>
  </si>
  <si>
    <t>Поддержка и ошибки</t>
  </si>
  <si>
    <t>Исправить ошибку в описании диаграммы</t>
  </si>
  <si>
    <t>Сообщение об ошибке</t>
  </si>
  <si>
    <t>Сообщение, подсказка, пример, правка</t>
  </si>
  <si>
    <t>Обращение в поддержку</t>
  </si>
  <si>
    <t>Текст диаграммы, сообщение</t>
  </si>
  <si>
    <t>Снижение оттока</t>
  </si>
  <si>
    <t>SC-010</t>
  </si>
  <si>
    <t>Найти ответ в документации</t>
  </si>
  <si>
    <t>Вопрос по нотации</t>
  </si>
  <si>
    <t>Поиск, раздел документации, пример</t>
  </si>
  <si>
    <t>Статьи документации</t>
  </si>
  <si>
    <t>Снижение нагрузки на поддержку</t>
  </si>
  <si>
    <t>Объяснить, что делает NotaCode, и привести к возможностям и регистрации</t>
  </si>
  <si>
    <t>Понять, подходит ли инструмент</t>
  </si>
  <si>
    <t>Перейти к возможностям или регистрации</t>
  </si>
  <si>
    <t>A-007; ЛР5</t>
  </si>
  <si>
    <t>Обещание, нотации, примеры</t>
  </si>
  <si>
    <t>Заголовок, список нотаций, призыв «Попробовать бесплатно»</t>
  </si>
  <si>
    <t>Обычное, загрузка</t>
  </si>
  <si>
    <t>Нет ответа сервера</t>
  </si>
  <si>
    <t>Косвенная</t>
  </si>
  <si>
    <t>Принято</t>
  </si>
  <si>
    <t>Возможности и нотации</t>
  </si>
  <si>
    <t>Показать нотации UML, BPMN, ERD, IDEF0, DFD, сети Петри и отличие</t>
  </si>
  <si>
    <t>Понимание ценности</t>
  </si>
  <si>
    <t>Убедиться в наборе нотаций</t>
  </si>
  <si>
    <t>Перейти к тарифам или регистрации</t>
  </si>
  <si>
    <t>ЛР5: конкурентный пробел</t>
  </si>
  <si>
    <t>Список нотаций, примеры диаграмм</t>
  </si>
  <si>
    <t>Блоки нотаций, примеры, сравнение</t>
  </si>
  <si>
    <t>Обычное</t>
  </si>
  <si>
    <t>U-003</t>
  </si>
  <si>
    <t>Тарифы Free и Pro</t>
  </si>
  <si>
    <t>Прозрачный выбор между Free и Pro</t>
  </si>
  <si>
    <t>Понять цену и ограничения</t>
  </si>
  <si>
    <t>Выбрать Pro и перейти к оплате</t>
  </si>
  <si>
    <t>ЛР5: тарифы у 5 из 8; M-001</t>
  </si>
  <si>
    <t>Free 0 USD, Pro 40 USD в год (48 USD при 4 x 12)</t>
  </si>
  <si>
    <t>Таблица тарифов, ограничения, вопросы</t>
  </si>
  <si>
    <t>Новый пользователь, тариф выбран, активная подписка</t>
  </si>
  <si>
    <t>Ошибка загрузки цен</t>
  </si>
  <si>
    <t>U-004</t>
  </si>
  <si>
    <t>Документация и примеры</t>
  </si>
  <si>
    <t>Научиться пользоваться нотациями без поддержки</t>
  </si>
  <si>
    <t>Найти пример нотации</t>
  </si>
  <si>
    <t>Открыть пример и скопировать в редактор</t>
  </si>
  <si>
    <t>ЛР5: документация у 6 из 8</t>
  </si>
  <si>
    <t>Статьи, примеры</t>
  </si>
  <si>
    <t>Поиск, список статей, пример</t>
  </si>
  <si>
    <t>Обычное, пустой поиск</t>
  </si>
  <si>
    <t>Статья не найдена</t>
  </si>
  <si>
    <t>U-005</t>
  </si>
  <si>
    <t>Регистрация и вход</t>
  </si>
  <si>
    <t>Получить доступ к редактору Free</t>
  </si>
  <si>
    <t>Зарегистрироваться</t>
  </si>
  <si>
    <t>Отправить форму регистрации</t>
  </si>
  <si>
    <t>ЛР5: вход у 5 из 8</t>
  </si>
  <si>
    <t>Форма, согласие с условиями</t>
  </si>
  <si>
    <t>Начальное, ошибка валидации, успех</t>
  </si>
  <si>
    <t>Почта занята, ошибка сети</t>
  </si>
  <si>
    <t>U-006</t>
  </si>
  <si>
    <t>Оплата Pro</t>
  </si>
  <si>
    <t>Оформить годовую подписку Pro</t>
  </si>
  <si>
    <t>Оплатить подписку</t>
  </si>
  <si>
    <t>Подтвердить оплату</t>
  </si>
  <si>
    <t>M-001; 6.2</t>
  </si>
  <si>
    <t>Платёжные данные (у провайдера)</t>
  </si>
  <si>
    <t>Состав заказа, платёжная форма, подтверждение</t>
  </si>
  <si>
    <t>Выбран тариф, оплата, успех, ошибка оплаты</t>
  </si>
  <si>
    <t>Отказ платежа, повтор</t>
  </si>
  <si>
    <t>Прямая</t>
  </si>
  <si>
    <t>U-007</t>
  </si>
  <si>
    <t>Выбор нотации и шаблона</t>
  </si>
  <si>
    <t>Выбрать нотацию и начать с примера</t>
  </si>
  <si>
    <t>Выбрать нотацию</t>
  </si>
  <si>
    <t>Выбрать нотацию или пример</t>
  </si>
  <si>
    <t>ЛР5: стандарт; 6.3: F-001</t>
  </si>
  <si>
    <t>Список нотаций, примеры</t>
  </si>
  <si>
    <t>Карточки нотаций, шаблоны</t>
  </si>
  <si>
    <t>Начальное, пустое</t>
  </si>
  <si>
    <t>Ошибка загрузки списка</t>
  </si>
  <si>
    <t>U-008</t>
  </si>
  <si>
    <t>Рабочая область редактора</t>
  </si>
  <si>
    <t>Ввести текст диаграммы и увидеть результат</t>
  </si>
  <si>
    <t>Построить диаграмму</t>
  </si>
  <si>
    <t>Ввести текст и увидеть предпросмотр</t>
  </si>
  <si>
    <t>6.3: F-001; ЛР5</t>
  </si>
  <si>
    <t>Поле ввода, предпросмотр, панель ошибок</t>
  </si>
  <si>
    <t>Нормальное, пустое, загрузка, ошибка, успех</t>
  </si>
  <si>
    <t>Ошибка синтаксиса, ошибка сети</t>
  </si>
  <si>
    <t>Прямая (ограничения Free)</t>
  </si>
  <si>
    <t>U-009</t>
  </si>
  <si>
    <t>Результат и экспорт</t>
  </si>
  <si>
    <t>Получить файл диаграммы</t>
  </si>
  <si>
    <t>Скачать диаграмму</t>
  </si>
  <si>
    <t>Выбрать формат и скачать</t>
  </si>
  <si>
    <t>ЛР5: экспорт у 8 из 8</t>
  </si>
  <si>
    <t>Выбор формата PNG, SVG, кнопка скачивания</t>
  </si>
  <si>
    <t>Нормальное, успех, формат недоступен</t>
  </si>
  <si>
    <t>Ошибка экспорта</t>
  </si>
  <si>
    <t>Прямая (форматы Pro)</t>
  </si>
  <si>
    <t>U-010</t>
  </si>
  <si>
    <t>Мои диаграммы</t>
  </si>
  <si>
    <t>Вернуться к сохранённым диаграммам</t>
  </si>
  <si>
    <t>Открыть сохранённую диаграмму</t>
  </si>
  <si>
    <t>Открыть диаграмму из списка</t>
  </si>
  <si>
    <t>ЛР5: история версий у 5 из 8</t>
  </si>
  <si>
    <t>Список диаграмм</t>
  </si>
  <si>
    <t>Список, поиск, действия</t>
  </si>
  <si>
    <t>Список, пустой список, загрузка</t>
  </si>
  <si>
    <t>Диаграмма не найдена</t>
  </si>
  <si>
    <t>U-011</t>
  </si>
  <si>
    <t>Подсказка об ошибке синтаксиса</t>
  </si>
  <si>
    <t>Объяснить ошибку и предложить исправление</t>
  </si>
  <si>
    <t>Исправить ошибку</t>
  </si>
  <si>
    <t>Принять подсказку или исправить вручную</t>
  </si>
  <si>
    <t>Проблема P-001 (6.1); данные о реализации - гипотеза</t>
  </si>
  <si>
    <t>Сообщение, пример исправления</t>
  </si>
  <si>
    <t>Ошибка, исправлено</t>
  </si>
  <si>
    <t>Подсказка недоступна</t>
  </si>
  <si>
    <t>Гипотеза</t>
  </si>
  <si>
    <t>U-012</t>
  </si>
  <si>
    <t>Профиль и подписка</t>
  </si>
  <si>
    <t>Управлять подпиской и настройками</t>
  </si>
  <si>
    <t>Проверить и продлить подписку</t>
  </si>
  <si>
    <t>Продлить или отменить подписку</t>
  </si>
  <si>
    <t>Статус подписки, дата продления</t>
  </si>
  <si>
    <t>Профиль, подписка, настройки</t>
  </si>
  <si>
    <t>Free, активная подписка, истёкший доступ</t>
  </si>
  <si>
    <t>Ошибка продления</t>
  </si>
  <si>
    <t>U-013</t>
  </si>
  <si>
    <t>ИИ-ассистент</t>
  </si>
  <si>
    <t>Описать диаграмму словами и получить текст диаграммы</t>
  </si>
  <si>
    <t>Сформулировать диаграмму словами</t>
  </si>
  <si>
    <t>Отправить запрос ассистенту</t>
  </si>
  <si>
    <t>6.3: F-011; Eraser, Mermaid Chart</t>
  </si>
  <si>
    <t>Запрос, ответ</t>
  </si>
  <si>
    <t>Поле запроса, ответ, применение к редактору</t>
  </si>
  <si>
    <t>Начальное, загрузка, ответ, лимит исчерпан</t>
  </si>
  <si>
    <t>Лимит ИИ, ошибка сервиса</t>
  </si>
  <si>
    <t>Прямая (лимиты ИИ)</t>
  </si>
  <si>
    <t>Обязательная</t>
  </si>
  <si>
    <t>Вспомогательный</t>
  </si>
  <si>
    <t>M-003</t>
  </si>
  <si>
    <t>M-004</t>
  </si>
  <si>
    <t>M-005</t>
  </si>
  <si>
    <t>M-006</t>
  </si>
  <si>
    <t>M-007</t>
  </si>
  <si>
    <t>M-008</t>
  </si>
  <si>
    <t>M-009</t>
  </si>
  <si>
    <t>Желательная</t>
  </si>
  <si>
    <t>M-010</t>
  </si>
  <si>
    <t>M-011</t>
  </si>
  <si>
    <t>M-012</t>
  </si>
  <si>
    <t>M-013</t>
  </si>
  <si>
    <t>M-014</t>
  </si>
  <si>
    <t>M-015</t>
  </si>
  <si>
    <t>M-016</t>
  </si>
  <si>
    <t>M-017</t>
  </si>
  <si>
    <t>M-018</t>
  </si>
  <si>
    <t>Открыть возможности</t>
  </si>
  <si>
    <t>Сценарный</t>
  </si>
  <si>
    <t>Главная ведёт к нотациям</t>
  </si>
  <si>
    <t>N-002</t>
  </si>
  <si>
    <t>Нажать «Попробовать бесплатно»</t>
  </si>
  <si>
    <t>Коммерческий</t>
  </si>
  <si>
    <t>Прямой путь в Free</t>
  </si>
  <si>
    <t>N-003</t>
  </si>
  <si>
    <t>Открыть тарифы</t>
  </si>
  <si>
    <t>Сравнение перед регистрацией</t>
  </si>
  <si>
    <t>N-004</t>
  </si>
  <si>
    <t>N-005</t>
  </si>
  <si>
    <t>Выбрать Pro</t>
  </si>
  <si>
    <t>Пользователь вошёл</t>
  </si>
  <si>
    <t>Переход к оплате</t>
  </si>
  <si>
    <t>N-006</t>
  </si>
  <si>
    <t>Выбрать Free</t>
  </si>
  <si>
    <t>Нет аккаунта</t>
  </si>
  <si>
    <t>N-007</t>
  </si>
  <si>
    <t>Подтвердить регистрацию</t>
  </si>
  <si>
    <t>Успех</t>
  </si>
  <si>
    <t>По состоянию</t>
  </si>
  <si>
    <t>Переход к выбору нотации</t>
  </si>
  <si>
    <t>N-008</t>
  </si>
  <si>
    <t>Нотация доступна</t>
  </si>
  <si>
    <t>Открыть редактор</t>
  </si>
  <si>
    <t>N-009</t>
  </si>
  <si>
    <t>Нажать «Экспорт»</t>
  </si>
  <si>
    <t>Диаграмма построена</t>
  </si>
  <si>
    <t>Получить файл</t>
  </si>
  <si>
    <t>N-010</t>
  </si>
  <si>
    <t>Показать ошибку</t>
  </si>
  <si>
    <t>Ошибка синтаксиса</t>
  </si>
  <si>
    <t>Подсказка</t>
  </si>
  <si>
    <t>N-011</t>
  </si>
  <si>
    <t>Открыть ИИ-ассистента</t>
  </si>
  <si>
    <t>Лимит не исчерпан</t>
  </si>
  <si>
    <t>N-012</t>
  </si>
  <si>
    <t>Сохранить</t>
  </si>
  <si>
    <t>Возвратный</t>
  </si>
  <si>
    <t>Возврат к работе</t>
  </si>
  <si>
    <t>N-013</t>
  </si>
  <si>
    <t>Открыть диаграмму</t>
  </si>
  <si>
    <t>Диаграмма существует</t>
  </si>
  <si>
    <t>Редактор</t>
  </si>
  <si>
    <t>N-014</t>
  </si>
  <si>
    <t>Продлить подписку</t>
  </si>
  <si>
    <t>Истёк доступ</t>
  </si>
  <si>
    <t>Тарифы</t>
  </si>
  <si>
    <t>N-015</t>
  </si>
  <si>
    <t>Открыть пример в редакторе</t>
  </si>
  <si>
    <t>Пример выбран</t>
  </si>
  <si>
    <t>Сервисный</t>
  </si>
  <si>
    <t>Из документации</t>
  </si>
  <si>
    <t>Таблица тарифов Free и Pro</t>
  </si>
  <si>
    <t>Тарифы недоступны</t>
  </si>
  <si>
    <t>Индикатор загрузки цен</t>
  </si>
  <si>
    <t>Не удалось загрузить цены; повторить</t>
  </si>
  <si>
    <t>Не требуется</t>
  </si>
  <si>
    <t>Тариф выбран, переход к оплате</t>
  </si>
  <si>
    <t>Выберите тариф, чтобы продолжить</t>
  </si>
  <si>
    <t>Форма регистрации</t>
  </si>
  <si>
    <t>Пустая форма</t>
  </si>
  <si>
    <t>Отправка формы</t>
  </si>
  <si>
    <t>Почта указана неверно</t>
  </si>
  <si>
    <t>Сервер недоступен; повторить позже</t>
  </si>
  <si>
    <t>Аккаунт создан, переход в редактор</t>
  </si>
  <si>
    <t>Проверьте почту и пароль</t>
  </si>
  <si>
    <t>S-003</t>
  </si>
  <si>
    <t>Состав заказа и форма оплаты</t>
  </si>
  <si>
    <t>Тариф не выбран</t>
  </si>
  <si>
    <t>Обработка платежа</t>
  </si>
  <si>
    <t>Неверные данные платежа</t>
  </si>
  <si>
    <t>Платёж не прошёл; повторить</t>
  </si>
  <si>
    <t>Нужен вход</t>
  </si>
  <si>
    <t>Подписка Pro активна</t>
  </si>
  <si>
    <t>Платёж не выполнен; деньги не списаны</t>
  </si>
  <si>
    <t>S-004</t>
  </si>
  <si>
    <t>Редактор с предпросмотром</t>
  </si>
  <si>
    <t>Пустое поле: пример нотации</t>
  </si>
  <si>
    <t>Построение диаграммы</t>
  </si>
  <si>
    <t>Ошибка синтаксиса: строка и причина</t>
  </si>
  <si>
    <t>Нет соединения; черновик сохранён локально</t>
  </si>
  <si>
    <t>Нотация доступна в Pro</t>
  </si>
  <si>
    <t>Найдена ошибка в строке; посмотрите пример</t>
  </si>
  <si>
    <t>S-005</t>
  </si>
  <si>
    <t>Выбор формата и скачивание</t>
  </si>
  <si>
    <t>Нет диаграммы для экспорта</t>
  </si>
  <si>
    <t>Подготовка файла</t>
  </si>
  <si>
    <t>Формат не поддерживается</t>
  </si>
  <si>
    <t>Ошибка экспорта; повторить</t>
  </si>
  <si>
    <t>Формат доступен в Pro</t>
  </si>
  <si>
    <t>Файл скачан</t>
  </si>
  <si>
    <t>Экспорт выполнен</t>
  </si>
  <si>
    <t>S-006</t>
  </si>
  <si>
    <t>Список сохранённых диаграмм</t>
  </si>
  <si>
    <t>Нет сохранённых диаграмм</t>
  </si>
  <si>
    <t>Загрузка списка</t>
  </si>
  <si>
    <t>Не удалось загрузить список</t>
  </si>
  <si>
    <t>Диаграмма открыта</t>
  </si>
  <si>
    <t>Создайте первую диаграмму</t>
  </si>
  <si>
    <t>Обещание и список нотаций</t>
  </si>
  <si>
    <t>ЦП VP-001 (6.1)</t>
  </si>
  <si>
    <t>Обязательно</t>
  </si>
  <si>
    <t>По релизам</t>
  </si>
  <si>
    <t>Всегда</t>
  </si>
  <si>
    <t>Текст</t>
  </si>
  <si>
    <t>Руководитель проекта</t>
  </si>
  <si>
    <t>Примеры диаграмм нотаций</t>
  </si>
  <si>
    <t>Движок нотаций</t>
  </si>
  <si>
    <t>Изображения и текст</t>
  </si>
  <si>
    <t>Разработчик</t>
  </si>
  <si>
    <t>Единица монетизации M-001</t>
  </si>
  <si>
    <t>При смене цен</t>
  </si>
  <si>
    <t>Цена в USD</t>
  </si>
  <si>
    <t>Таблица</t>
  </si>
  <si>
    <t>Статьи по нотациям и примеры</t>
  </si>
  <si>
    <t>Документация</t>
  </si>
  <si>
    <t>Желательно</t>
  </si>
  <si>
    <t>По поиску</t>
  </si>
  <si>
    <t>Состав заказа и условия оплаты</t>
  </si>
  <si>
    <t>Платёжный провайдер</t>
  </si>
  <si>
    <t>При смене тарифов</t>
  </si>
  <si>
    <t>После выбора Pro</t>
  </si>
  <si>
    <t>Текст диаграммы и результат</t>
  </si>
  <si>
    <t>Пользователь</t>
  </si>
  <si>
    <t>В реальном времени</t>
  </si>
  <si>
    <t>Текст и изображение</t>
  </si>
  <si>
    <t>Форматы экспорта PNG и SVG</t>
  </si>
  <si>
    <t>Требования F-005 (6.3)</t>
  </si>
  <si>
    <t>Pro: расширенные форматы</t>
  </si>
  <si>
    <t>Файл</t>
  </si>
  <si>
    <t>Сообщения об ошибках и примеры исправления</t>
  </si>
  <si>
    <t>При ошибке</t>
  </si>
  <si>
    <t>Выбрать тариф</t>
  </si>
  <si>
    <t>Новый пользователь, тариф выбран, активная подписка, ошибка загрузки</t>
  </si>
  <si>
    <t>Из главной и возможностей; в регистрацию и оплату</t>
  </si>
  <si>
    <t>Доля переходов в регистрацию и оплату</t>
  </si>
  <si>
    <t>Непонятные ограничения Free</t>
  </si>
  <si>
    <t>Получить доступ к Free</t>
  </si>
  <si>
    <t>Отправить форму</t>
  </si>
  <si>
    <t>Форма, согласие, ошибки</t>
  </si>
  <si>
    <t>Начальное, ошибка валидации, успех, ошибка сети</t>
  </si>
  <si>
    <t>Из тарифов и главной; в выбор нотации</t>
  </si>
  <si>
    <t>Доля завершённых регистраций</t>
  </si>
  <si>
    <t>Оформить подписку</t>
  </si>
  <si>
    <t>Оплатить 40 USD в год</t>
  </si>
  <si>
    <t>Состав заказа, форма оплаты, подтверждение</t>
  </si>
  <si>
    <t>Из тарифов; в профиль</t>
  </si>
  <si>
    <t>Доля оплат от входа на страницу</t>
  </si>
  <si>
    <t>Отказ платежа, отсутствие провайдера</t>
  </si>
  <si>
    <t>Построить диаграмму из текста</t>
  </si>
  <si>
    <t>Ввести текст и получить диаграмму</t>
  </si>
  <si>
    <t>Ввести текст</t>
  </si>
  <si>
    <t>Из выбора нотации; в экспорт и сохранение</t>
  </si>
  <si>
    <t>Доля пользователей, построивших первую диаграмму</t>
  </si>
  <si>
    <t>Сложность синтаксиса</t>
  </si>
  <si>
    <t>Скачать PNG или SVG</t>
  </si>
  <si>
    <t>Выбрать формат</t>
  </si>
  <si>
    <t>Выбор формата, скачивание</t>
  </si>
  <si>
    <t>Нормальное, успех, формат недоступен, ошибка экспорта</t>
  </si>
  <si>
    <t>Из редактора</t>
  </si>
  <si>
    <t>Доля экспортов от построенных диаграмм</t>
  </si>
  <si>
    <t>Ограничения форматов Free</t>
  </si>
  <si>
    <t>Управлять подпиской</t>
  </si>
  <si>
    <t>Продлить</t>
  </si>
  <si>
    <t>Из тарифов и кабинета</t>
  </si>
  <si>
    <t>Доля продлений</t>
  </si>
  <si>
    <t>Потеря доступа при просрочке</t>
  </si>
  <si>
    <t>Вход в воронку</t>
  </si>
  <si>
    <t>Включить</t>
  </si>
  <si>
    <t>Конкурентное отличие и поиск</t>
  </si>
  <si>
    <t>Монетизация и доверие</t>
  </si>
  <si>
    <t>Снижает нагрузку поддержки</t>
  </si>
  <si>
    <t>Включить после проверки</t>
  </si>
  <si>
    <t>Включить после выбора провайдера</t>
  </si>
  <si>
    <t>Старт работы</t>
  </si>
  <si>
    <t>Ядро ценности</t>
  </si>
  <si>
    <t>Обязательный минимум</t>
  </si>
  <si>
    <t>Вторая версия</t>
  </si>
  <si>
    <t>Снижает отказы, данные слабые</t>
  </si>
  <si>
    <t>Продление</t>
  </si>
  <si>
    <t>Журнал рабочей копии: источники, единицы, ограничения</t>
  </si>
  <si>
    <t>Раздел</t>
  </si>
  <si>
    <t>Код</t>
  </si>
  <si>
    <t>Содержание</t>
  </si>
  <si>
    <t>Источники</t>
  </si>
  <si>
    <t>И-1</t>
  </si>
  <si>
    <t>Банк выводов из ЛР5 (стандарт страниц, тарифы), методик 6.1-6.3 и ЛР4 (опрос, Similarweb).</t>
  </si>
  <si>
    <t>Единицы</t>
  </si>
  <si>
    <t>Е-1</t>
  </si>
  <si>
    <t>13 единиц: 6 страниц сайта и 7 экранов приложения (PWA). Страница правовых документов и поддержки не вынесена: правовые документы и контакты размещаются в подвале и должны быть в первой версии (🔲 ДОСНЯТЬ: перечень документов).</t>
  </si>
  <si>
    <t>П-1</t>
  </si>
  <si>
    <t>Паспорта заполнены для 6 ключевых единиц (тарифы, регистрация, оплата, редактор, экспорт, профиль); для остальных - 🔲 ДОСНЯТЬ в проектировании.</t>
  </si>
  <si>
    <t>С-1</t>
  </si>
  <si>
    <t>Карта состояний заполнена для 6 единиц; прочерк означает, что состояние неприменимо.</t>
  </si>
  <si>
    <t>Правило</t>
  </si>
  <si>
    <t>Р-2</t>
  </si>
  <si>
    <t>По формуле шаблона P1 получают 3 единицы (выбор нотации, редактор, экспорт); тарифы, регистрация и оплата - P2 или P3, но цепочка «обнаружение ценности - выбор - оплата - первый результат» требует их включения в первый выпуск: решение принимается в методике 6.5.</t>
  </si>
  <si>
    <t>Р-1</t>
  </si>
  <si>
    <t>Приоритет единицы - формула шаблона; оценки 1-5 экспертные. Страницы без доказательства из анализа (подсказка об ошибке, ИИ-ассистент) имеют статус «Гипотеза».</t>
  </si>
  <si>
    <t>Ограничения</t>
  </si>
  <si>
    <t>О-1</t>
  </si>
  <si>
    <t>Опрос студентов сгенерирован (ЛР4); UX-тестирование и прототипы не проводились. 🔲 ДОСНЯТЬ: прототип и проверка с пользователями.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</si>
</sst>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6"/>
      <color rgb="FF1F4E5F"/>
      <name val="Carlito"/>
    </font>
    <font>
      <sz val="11"/>
      <color rgb="FF1F2937"/>
      <name val="Carlito"/>
    </font>
    <font>
      <b/>
      <sz val="11"/>
      <color rgb="FF1F2937"/>
      <name val="Carlito"/>
    </font>
    <font>
      <b/>
      <sz val="11"/>
      <color rgb="FFFFFFFF"/>
      <name val="Carlito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</fonts>
  <fills count="7">
    <fill>
      <patternFill patternType="none"/>
    </fill>
    <fill>
      <patternFill patternType="gray125"/>
    </fill>
    <fill>
      <patternFill patternType="solid">
        <fgColor rgb="FFE7F2F5"/>
      </patternFill>
    </fill>
    <fill>
      <patternFill patternType="solid">
        <fgColor rgb="FFD9EAF0"/>
      </patternFill>
    </fill>
    <fill>
      <patternFill patternType="solid">
        <fgColor rgb="FF2F6F7E"/>
      </patternFill>
    </fill>
    <fill>
      <patternFill patternType="solid">
        <fgColor rgb="FF1F4E5F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0" fontId="3" fillId="3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4" fillId="5" borderId="0" xfId="1" applyFont="1" applyFill="1" applyAlignment="1">
      <alignment horizontal="center" vertical="top" wrapText="1"/>
    </xf>
    <xf numFmtId="9" fontId="0" fillId="0" borderId="0" xfId="1" applyNumberFormat="1" applyFont="1" applyAlignment="1">
      <alignment vertical="top" wrapText="1"/>
    </xf>
    <xf numFmtId="0" fontId="4" fillId="4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0" fontId="2" fillId="2" borderId="0" xfId="1" applyFont="1" applyFill="1" applyAlignment="1">
      <alignment vertical="top" wrapText="1"/>
    </xf>
    <xf numFmtId="0" fontId="6" fillId="0" borderId="0" xfId="0" applyFont="1"/>
    <xf numFmtId="0" fontId="8" fillId="0" borderId="0" xfId="0" applyFont="1"/>
    <xf numFmtId="0" fontId="7" fillId="6" borderId="1" xfId="0" applyFont="1" applyFill="1" applyBorder="1"/>
    <xf numFmtId="0" fontId="6" fillId="0" borderId="1" xfId="0" applyFont="1" applyBorder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6"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Готовность ключевых блоков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Готовность</c:v>
          </c:tx>
          <c:invertIfNegative val="1"/>
          <c:cat>
            <c:strRef>
              <c:f>Дашборд!$A$15:$A$18</c:f>
              <c:strCache>
                <c:ptCount val="4"/>
                <c:pt idx="0">
                  <c:v>Покрытие сценариев</c:v>
                </c:pt>
                <c:pt idx="1">
                  <c:v>Описание страниц/экранов</c:v>
                </c:pt>
                <c:pt idx="2">
                  <c:v>Паспорта</c:v>
                </c:pt>
                <c:pt idx="3">
                  <c:v>Состояния</c:v>
                </c:pt>
              </c:strCache>
            </c:strRef>
          </c:cat>
          <c:val>
            <c:numRef>
              <c:f>Дашборд!$B$15:$B$18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E-46A3-AA65-EE497BC58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structionTable" displayName="InstructionTable" ref="A4:C13">
  <tableColumns count="3">
    <tableColumn id="1" xr3:uid="{00000000-0010-0000-0000-000001000000}" name="Шаг"/>
    <tableColumn id="2" xr3:uid="{00000000-0010-0000-0000-000002000000}" name="Действие"/>
    <tableColumn id="3" xr3:uid="{00000000-0010-0000-0000-000003000000}" name="Что сделать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dingsTable" displayName="FindingsTable" ref="A4:K204">
  <tableColumns count="11">
    <tableColumn id="1" xr3:uid="{00000000-0010-0000-0100-000001000000}" name="ID вывода"/>
    <tableColumn id="2" xr3:uid="{00000000-0010-0000-0100-000002000000}" name="Вид анализа"/>
    <tableColumn id="3" xr3:uid="{00000000-0010-0000-0100-000003000000}" name="Объект анализа"/>
    <tableColumn id="4" xr3:uid="{00000000-0010-0000-0100-000004000000}" name="Вывод / факт"/>
    <tableColumn id="5" xr3:uid="{00000000-0010-0000-0100-000005000000}" name="Доказательство / ссылка"/>
    <tableColumn id="6" xr3:uid="{00000000-0010-0000-0100-000006000000}" name="Надежность 1–5"/>
    <tableColumn id="7" xr3:uid="{00000000-0010-0000-0100-000007000000}" name="Значимость 1–5"/>
    <tableColumn id="8" xr3:uid="{00000000-0010-0000-0100-000008000000}" name="Влияние на интерфейс"/>
    <tableColumn id="9" xr3:uid="{00000000-0010-0000-0100-000009000000}" name="Связанные роли"/>
    <tableColumn id="10" xr3:uid="{00000000-0010-0000-0100-00000A000000}" name="Связанные сценарии"/>
    <tableColumn id="11" xr3:uid="{00000000-0010-0000-0100-00000B000000}" name="Решение для страниц/экранов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olesTable" displayName="RolesTable" ref="A4:J104">
  <tableColumns count="10">
    <tableColumn id="1" xr3:uid="{00000000-0010-0000-0200-000001000000}" name="Роль_ID"/>
    <tableColumn id="2" xr3:uid="{00000000-0010-0000-0200-000002000000}" name="Роль / сегмент"/>
    <tableColumn id="3" xr3:uid="{00000000-0010-0000-0200-000003000000}" name="Цель роли"/>
    <tableColumn id="4" xr3:uid="{00000000-0010-0000-0200-000004000000}" name="Основная проблема"/>
    <tableColumn id="5" xr3:uid="{00000000-0010-0000-0200-000005000000}" name="Ожидаемая ценность"/>
    <tableColumn id="6" xr3:uid="{00000000-0010-0000-0200-000006000000}" name="Цифровая зрелость"/>
    <tableColumn id="7" xr3:uid="{00000000-0010-0000-0200-000007000000}" name="Частота использования"/>
    <tableColumn id="8" xr3:uid="{00000000-0010-0000-0200-000008000000}" name="Критичность задачи 1–5"/>
    <tableColumn id="9" xr3:uid="{00000000-0010-0000-0200-000009000000}" name="Канал входа"/>
    <tableColumn id="10" xr3:uid="{00000000-0010-0000-0200-00000A000000}" name="Примечание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cenariosTable" displayName="ScenariosTable" ref="A4:O304">
  <tableColumns count="15">
    <tableColumn id="1" xr3:uid="{00000000-0010-0000-0300-000001000000}" name="Сценарий_ID"/>
    <tableColumn id="2" xr3:uid="{00000000-0010-0000-0300-000002000000}" name="Роль_ID"/>
    <tableColumn id="3" xr3:uid="{00000000-0010-0000-0300-000003000000}" name="Этап пути"/>
    <tableColumn id="4" xr3:uid="{00000000-0010-0000-0300-000004000000}" name="Пользовательская цель"/>
    <tableColumn id="5" xr3:uid="{00000000-0010-0000-0300-000005000000}" name="Начальный триггер"/>
    <tableColumn id="6" xr3:uid="{00000000-0010-0000-0300-000006000000}" name="Основной поток"/>
    <tableColumn id="7" xr3:uid="{00000000-0010-0000-0300-000007000000}" name="Альтернативный поток"/>
    <tableColumn id="8" xr3:uid="{00000000-0010-0000-0300-000008000000}" name="Данные / контент"/>
    <tableColumn id="9" xr3:uid="{00000000-0010-0000-0300-000009000000}" name="Бизнес-результат"/>
    <tableColumn id="10" xr3:uid="{00000000-0010-0000-0300-00000A000000}" name="Критичность 1–5"/>
    <tableColumn id="11" xr3:uid="{00000000-0010-0000-0300-00000B000000}" name="Частота 1–5"/>
    <tableColumn id="12" xr3:uid="{00000000-0010-0000-0300-00000C000000}" name="Сложность 1–5"/>
    <tableColumn id="13" xr3:uid="{00000000-0010-0000-0300-00000D000000}" name="Кол-во страниц/экранов"/>
    <tableColumn id="14" xr3:uid="{00000000-0010-0000-0300-00000E000000}" name="Статус покрытия"/>
    <tableColumn id="15" xr3:uid="{00000000-0010-0000-0300-00000F000000}" name="Приоритет сценария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UnitsTable" displayName="UnitsTable" ref="A4:U304">
  <tableColumns count="21">
    <tableColumn id="1" xr3:uid="{00000000-0010-0000-0400-000001000000}" name="Unit_ID"/>
    <tableColumn id="2" xr3:uid="{00000000-0010-0000-0400-000002000000}" name="Тип"/>
    <tableColumn id="3" xr3:uid="{00000000-0010-0000-0400-000003000000}" name="Название"/>
    <tableColumn id="4" xr3:uid="{00000000-0010-0000-0400-000004000000}" name="Назначение"/>
    <tableColumn id="5" xr3:uid="{00000000-0010-0000-0400-000005000000}" name="Связанный сценарий_ID"/>
    <tableColumn id="6" xr3:uid="{00000000-0010-0000-0400-000006000000}" name="Роль_ID"/>
    <tableColumn id="7" xr3:uid="{00000000-0010-0000-0400-000007000000}" name="Этап пути"/>
    <tableColumn id="8" xr3:uid="{00000000-0010-0000-0400-000008000000}" name="Главная задача пользователя"/>
    <tableColumn id="9" xr3:uid="{00000000-0010-0000-0400-000009000000}" name="Ключевое действие"/>
    <tableColumn id="10" xr3:uid="{00000000-0010-0000-0400-00000A000000}" name="Источник требования"/>
    <tableColumn id="11" xr3:uid="{00000000-0010-0000-0400-00000B000000}" name="Данные / контент"/>
    <tableColumn id="12" xr3:uid="{00000000-0010-0000-0400-00000C000000}" name="Компоненты"/>
    <tableColumn id="13" xr3:uid="{00000000-0010-0000-0400-00000D000000}" name="Состояния"/>
    <tableColumn id="14" xr3:uid="{00000000-0010-0000-0400-00000E000000}" name="Ошибки / исключения"/>
    <tableColumn id="15" xr3:uid="{00000000-0010-0000-0400-00000F000000}" name="Нужна авторизация"/>
    <tableColumn id="16" xr3:uid="{00000000-0010-0000-0400-000010000000}" name="Монетизационная роль"/>
    <tableColumn id="17" xr3:uid="{00000000-0010-0000-0400-000011000000}" name="Оценка приоритета"/>
    <tableColumn id="18" xr3:uid="{00000000-0010-0000-0400-000012000000}" name="Статус"/>
    <tableColumn id="19" xr3:uid="{00000000-0010-0000-0400-000013000000}" name="Доказательность 1–5"/>
    <tableColumn id="20" xr3:uid="{00000000-0010-0000-0400-000014000000}" name="Полнота описания"/>
    <tableColumn id="21" xr3:uid="{00000000-0010-0000-0400-000015000000}" name="Реш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cenarioInterfaceMatrix" displayName="ScenarioInterfaceMatrix" ref="A4:I304">
  <tableColumns count="9">
    <tableColumn id="1" xr3:uid="{00000000-0010-0000-0500-000001000000}" name="Связь_ID"/>
    <tableColumn id="2" xr3:uid="{00000000-0010-0000-0500-000002000000}" name="Сценарий_ID"/>
    <tableColumn id="3" xr3:uid="{00000000-0010-0000-0500-000003000000}" name="Unit_ID"/>
    <tableColumn id="4" xr3:uid="{00000000-0010-0000-0500-000004000000}" name="Тип связи"/>
    <tableColumn id="5" xr3:uid="{00000000-0010-0000-0500-000005000000}" name="Обязательность"/>
    <tableColumn id="6" xr3:uid="{00000000-0010-0000-0500-000006000000}" name="Порядок в сценарии"/>
    <tableColumn id="7" xr3:uid="{00000000-0010-0000-0500-000007000000}" name="Предыдущее Unit_ID"/>
    <tableColumn id="8" xr3:uid="{00000000-0010-0000-0500-000008000000}" name="Следующее Unit_ID"/>
    <tableColumn id="9" xr3:uid="{00000000-0010-0000-0500-000009000000}" name="Комментарий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NavigationTable" displayName="NavigationTable" ref="A4:J204">
  <tableColumns count="10">
    <tableColumn id="1" xr3:uid="{00000000-0010-0000-0600-000001000000}" name="Переход_ID"/>
    <tableColumn id="2" xr3:uid="{00000000-0010-0000-0600-000002000000}" name="Откуда Unit_ID"/>
    <tableColumn id="3" xr3:uid="{00000000-0010-0000-0600-000003000000}" name="Куда Unit_ID"/>
    <tableColumn id="4" xr3:uid="{00000000-0010-0000-0600-000004000000}" name="Событие / действие"/>
    <tableColumn id="5" xr3:uid="{00000000-0010-0000-0600-000005000000}" name="Условие"/>
    <tableColumn id="6" xr3:uid="{00000000-0010-0000-0600-000006000000}" name="Роль_ID"/>
    <tableColumn id="7" xr3:uid="{00000000-0010-0000-0600-000007000000}" name="Этап пути"/>
    <tableColumn id="8" xr3:uid="{00000000-0010-0000-0600-000008000000}" name="Тип перехода"/>
    <tableColumn id="9" xr3:uid="{00000000-0010-0000-0600-000009000000}" name="Риск разрыва 1–5"/>
    <tableColumn id="10" xr3:uid="{00000000-0010-0000-0600-00000A000000}" name="Комментарий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tatesTable" displayName="StatesTable" ref="A4:K204">
  <tableColumns count="11">
    <tableColumn id="1" xr3:uid="{00000000-0010-0000-0700-000001000000}" name="State_ID"/>
    <tableColumn id="2" xr3:uid="{00000000-0010-0000-0700-000002000000}" name="Unit_ID"/>
    <tableColumn id="3" xr3:uid="{00000000-0010-0000-0700-000003000000}" name="Нормальное состояние"/>
    <tableColumn id="4" xr3:uid="{00000000-0010-0000-0700-000004000000}" name="Пустое состояние"/>
    <tableColumn id="5" xr3:uid="{00000000-0010-0000-0700-000005000000}" name="Загрузка"/>
    <tableColumn id="6" xr3:uid="{00000000-0010-0000-0700-000006000000}" name="Ошибка валидации"/>
    <tableColumn id="7" xr3:uid="{00000000-0010-0000-0700-000007000000}" name="Ошибка сети/сервера"/>
    <tableColumn id="8" xr3:uid="{00000000-0010-0000-0700-000008000000}" name="Нет прав"/>
    <tableColumn id="9" xr3:uid="{00000000-0010-0000-0700-000009000000}" name="Успешное завершение"/>
    <tableColumn id="10" xr3:uid="{00000000-0010-0000-0700-00000A000000}" name="Сообщение пользователю"/>
    <tableColumn id="11" xr3:uid="{00000000-0010-0000-0700-00000B000000}" name="Полнота состояний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ntentTable" displayName="ContentTable" ref="A4:I204">
  <tableColumns count="9">
    <tableColumn id="1" xr3:uid="{00000000-0010-0000-0800-000001000000}" name="Unit_ID"/>
    <tableColumn id="2" xr3:uid="{00000000-0010-0000-0800-000002000000}" name="Элемент контента / данных"/>
    <tableColumn id="3" xr3:uid="{00000000-0010-0000-0800-000003000000}" name="Источник данных"/>
    <tableColumn id="4" xr3:uid="{00000000-0010-0000-0800-000004000000}" name="Обязательность"/>
    <tableColumn id="5" xr3:uid="{00000000-0010-0000-0800-000005000000}" name="Частота обновления"/>
    <tableColumn id="6" xr3:uid="{00000000-0010-0000-0800-000006000000}" name="Персонализация"/>
    <tableColumn id="7" xr3:uid="{00000000-0010-0000-0800-000007000000}" name="Правило отображения"/>
    <tableColumn id="8" xr3:uid="{00000000-0010-0000-0800-000008000000}" name="Формат"/>
    <tableColumn id="9" xr3:uid="{00000000-0010-0000-0800-000009000000}" name="Ответственный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assportTable" displayName="PassportTable" ref="A4:O304">
  <tableColumns count="15">
    <tableColumn id="1" xr3:uid="{00000000-0010-0000-0900-000001000000}" name="Unit_ID"/>
    <tableColumn id="2" xr3:uid="{00000000-0010-0000-0900-000002000000}" name="Название"/>
    <tableColumn id="3" xr3:uid="{00000000-0010-0000-0900-000003000000}" name="Тип"/>
    <tableColumn id="4" xr3:uid="{00000000-0010-0000-0900-000004000000}" name="Сценарий_ID"/>
    <tableColumn id="5" xr3:uid="{00000000-0010-0000-0900-000005000000}" name="Роль_ID"/>
    <tableColumn id="6" xr3:uid="{00000000-0010-0000-0900-000006000000}" name="Назначение"/>
    <tableColumn id="7" xr3:uid="{00000000-0010-0000-0900-000007000000}" name="Главная задача"/>
    <tableColumn id="8" xr3:uid="{00000000-0010-0000-0900-000008000000}" name="Основное действие"/>
    <tableColumn id="9" xr3:uid="{00000000-0010-0000-0900-000009000000}" name="Состав блоков"/>
    <tableColumn id="10" xr3:uid="{00000000-0010-0000-0900-00000A000000}" name="Состояния"/>
    <tableColumn id="11" xr3:uid="{00000000-0010-0000-0900-00000B000000}" name="Навигация"/>
    <tableColumn id="12" xr3:uid="{00000000-0010-0000-0900-00000C000000}" name="Метрики успеха"/>
    <tableColumn id="13" xr3:uid="{00000000-0010-0000-0900-00000D000000}" name="Риски"/>
    <tableColumn id="14" xr3:uid="{00000000-0010-0000-0900-00000E000000}" name="Полнота паспорта"/>
    <tableColumn id="15" xr3:uid="{00000000-0010-0000-0900-00000F000000}" name="Вердикт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PriorityTable" displayName="PriorityTable" ref="A4:L304">
  <tableColumns count="12">
    <tableColumn id="1" xr3:uid="{00000000-0010-0000-0A00-000001000000}" name="Unit_ID"/>
    <tableColumn id="2" xr3:uid="{00000000-0010-0000-0A00-000002000000}" name="Название"/>
    <tableColumn id="3" xr3:uid="{00000000-0010-0000-0A00-000003000000}" name="Связанный сценарий_ID"/>
    <tableColumn id="4" xr3:uid="{00000000-0010-0000-0A00-000004000000}" name="Ценность для пользователя 1–5"/>
    <tableColumn id="5" xr3:uid="{00000000-0010-0000-0A00-000005000000}" name="Влияние на бизнес 1–5"/>
    <tableColumn id="6" xr3:uid="{00000000-0010-0000-0A00-000006000000}" name="Частота использования 1–5"/>
    <tableColumn id="7" xr3:uid="{00000000-0010-0000-0A00-000007000000}" name="Риск без реализации 1–5"/>
    <tableColumn id="8" xr3:uid="{00000000-0010-0000-0A00-000008000000}" name="Сложность 1–5"/>
    <tableColumn id="9" xr3:uid="{00000000-0010-0000-0A00-000009000000}" name="Итоговый балл"/>
    <tableColumn id="10" xr3:uid="{00000000-0010-0000-0A00-00000A000000}" name="Класс приоритета"/>
    <tableColumn id="11" xr3:uid="{00000000-0010-0000-0A00-00000B000000}" name="Основание"/>
    <tableColumn id="12" xr3:uid="{00000000-0010-0000-0A00-00000C000000}" name="Решение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hecksTable" displayName="ChecksTable" ref="A4:F11">
  <tableColumns count="6">
    <tableColumn id="1" xr3:uid="{00000000-0010-0000-0B00-000001000000}" name="Проверка"/>
    <tableColumn id="2" xr3:uid="{00000000-0010-0000-0B00-000002000000}" name="Описание"/>
    <tableColumn id="3" xr3:uid="{00000000-0010-0000-0B00-000003000000}" name="Расчет / критерий"/>
    <tableColumn id="4" xr3:uid="{00000000-0010-0000-0B00-000004000000}" name="Результат"/>
    <tableColumn id="5" xr3:uid="{00000000-0010-0000-0B00-000005000000}" name="Статус"/>
    <tableColumn id="6" xr3:uid="{00000000-0010-0000-0B00-000006000000}" name="Что исправить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"/>
  <sheetViews>
    <sheetView tabSelected="1" workbookViewId="0">
      <selection sqref="A1:I1"/>
    </sheetView>
  </sheetViews>
  <sheetFormatPr defaultRowHeight="13.5"/>
  <cols>
    <col min="1" max="1" width="8" customWidth="1"/>
    <col min="2" max="2" width="28" customWidth="1"/>
    <col min="3" max="3" width="78" customWidth="1"/>
  </cols>
  <sheetData>
    <row r="1" spans="1:21" ht="16.05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05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05" customHeight="1">
      <c r="A4" s="1" t="s">
        <v>2</v>
      </c>
      <c r="B4" s="1" t="s">
        <v>3</v>
      </c>
      <c r="C4" s="1" t="s">
        <v>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7">
      <c r="A5" s="2" t="s">
        <v>5</v>
      </c>
      <c r="B5" s="2" t="s">
        <v>6</v>
      </c>
      <c r="C5" s="2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7">
      <c r="A6" s="2" t="s">
        <v>8</v>
      </c>
      <c r="B6" s="2" t="s">
        <v>9</v>
      </c>
      <c r="C6" s="2" t="s">
        <v>10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7">
      <c r="A7" s="2" t="s">
        <v>11</v>
      </c>
      <c r="B7" s="2" t="s">
        <v>12</v>
      </c>
      <c r="C7" s="2" t="s">
        <v>13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7">
      <c r="A8" s="2" t="s">
        <v>14</v>
      </c>
      <c r="B8" s="2" t="s">
        <v>15</v>
      </c>
      <c r="C8" s="2" t="s">
        <v>16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7">
      <c r="A9" s="2" t="s">
        <v>17</v>
      </c>
      <c r="B9" s="2" t="s">
        <v>18</v>
      </c>
      <c r="C9" s="2" t="s">
        <v>19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7">
      <c r="A10" s="2" t="s">
        <v>20</v>
      </c>
      <c r="B10" s="2" t="s">
        <v>21</v>
      </c>
      <c r="C10" s="2" t="s">
        <v>22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7">
      <c r="A11" s="2" t="s">
        <v>23</v>
      </c>
      <c r="B11" s="2" t="s">
        <v>24</v>
      </c>
      <c r="C11" s="2" t="s">
        <v>25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7">
      <c r="A12" s="2" t="s">
        <v>26</v>
      </c>
      <c r="B12" s="2" t="s">
        <v>27</v>
      </c>
      <c r="C12" s="2" t="s">
        <v>28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7">
      <c r="A13" s="2" t="s">
        <v>29</v>
      </c>
      <c r="B13" s="2" t="s">
        <v>30</v>
      </c>
      <c r="C13" s="2" t="s">
        <v>31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05"/>
  <sheetViews>
    <sheetView workbookViewId="0"/>
  </sheetViews>
  <sheetFormatPr defaultRowHeight="13.5"/>
  <cols>
    <col min="1" max="1" width="12" customWidth="1"/>
    <col min="2" max="3" width="24" customWidth="1"/>
    <col min="4" max="4" width="44" customWidth="1"/>
    <col min="5" max="5" width="38" customWidth="1"/>
    <col min="6" max="7" width="14" customWidth="1"/>
    <col min="8" max="8" width="42" customWidth="1"/>
    <col min="9" max="10" width="22" customWidth="1"/>
    <col min="11" max="11" width="38" customWidth="1"/>
  </cols>
  <sheetData>
    <row r="1" spans="1:21" ht="16.05" customHeight="1">
      <c r="A1" s="6" t="s">
        <v>32</v>
      </c>
      <c r="B1" s="6"/>
      <c r="C1" s="6"/>
      <c r="D1" s="6"/>
      <c r="E1" s="6"/>
      <c r="F1" s="6"/>
      <c r="G1" s="6"/>
      <c r="H1" s="6"/>
      <c r="I1" s="6"/>
      <c r="J1" s="6"/>
      <c r="K1" s="6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05" customHeight="1">
      <c r="A2" s="7" t="s">
        <v>33</v>
      </c>
      <c r="B2" s="7"/>
      <c r="C2" s="7"/>
      <c r="D2" s="7"/>
      <c r="E2" s="7"/>
      <c r="F2" s="7"/>
      <c r="G2" s="7"/>
      <c r="H2" s="7"/>
      <c r="I2" s="7"/>
      <c r="J2" s="7"/>
      <c r="K2" s="7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05" customHeight="1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7">
      <c r="A5" s="2" t="s">
        <v>45</v>
      </c>
      <c r="B5" s="2" t="s">
        <v>307</v>
      </c>
      <c r="C5" s="2" t="s">
        <v>308</v>
      </c>
      <c r="D5" s="2" t="s">
        <v>309</v>
      </c>
      <c r="E5" s="2" t="s">
        <v>310</v>
      </c>
      <c r="F5" s="2">
        <v>5</v>
      </c>
      <c r="G5" s="2">
        <v>5</v>
      </c>
      <c r="H5" s="2" t="s">
        <v>311</v>
      </c>
      <c r="I5" s="2" t="s">
        <v>312</v>
      </c>
      <c r="J5" s="2" t="s">
        <v>313</v>
      </c>
      <c r="K5" s="2" t="s">
        <v>314</v>
      </c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7">
      <c r="A6" s="2" t="s">
        <v>49</v>
      </c>
      <c r="B6" s="2" t="s">
        <v>315</v>
      </c>
      <c r="C6" s="2" t="s">
        <v>316</v>
      </c>
      <c r="D6" s="2" t="s">
        <v>317</v>
      </c>
      <c r="E6" s="2" t="s">
        <v>318</v>
      </c>
      <c r="F6" s="2">
        <v>5</v>
      </c>
      <c r="G6" s="2">
        <v>5</v>
      </c>
      <c r="H6" s="2" t="s">
        <v>319</v>
      </c>
      <c r="I6" s="2" t="s">
        <v>320</v>
      </c>
      <c r="J6" s="2" t="s">
        <v>321</v>
      </c>
      <c r="K6" s="2" t="s">
        <v>322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7">
      <c r="A7" s="2" t="s">
        <v>323</v>
      </c>
      <c r="B7" s="2" t="s">
        <v>315</v>
      </c>
      <c r="C7" s="2" t="s">
        <v>324</v>
      </c>
      <c r="D7" s="2" t="s">
        <v>325</v>
      </c>
      <c r="E7" s="2" t="s">
        <v>326</v>
      </c>
      <c r="F7" s="2">
        <v>4</v>
      </c>
      <c r="G7" s="2">
        <v>5</v>
      </c>
      <c r="H7" s="2" t="s">
        <v>327</v>
      </c>
      <c r="I7" s="2" t="s">
        <v>328</v>
      </c>
      <c r="J7" s="2" t="s">
        <v>329</v>
      </c>
      <c r="K7" s="2" t="s">
        <v>330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7">
      <c r="A8" s="2" t="s">
        <v>331</v>
      </c>
      <c r="B8" s="2" t="s">
        <v>332</v>
      </c>
      <c r="C8" s="2" t="s">
        <v>333</v>
      </c>
      <c r="D8" s="2" t="s">
        <v>334</v>
      </c>
      <c r="E8" s="2" t="s">
        <v>335</v>
      </c>
      <c r="F8" s="2">
        <v>4</v>
      </c>
      <c r="G8" s="2">
        <v>4</v>
      </c>
      <c r="H8" s="2" t="s">
        <v>336</v>
      </c>
      <c r="I8" s="2" t="s">
        <v>47</v>
      </c>
      <c r="J8" s="2" t="s">
        <v>52</v>
      </c>
      <c r="K8" s="2" t="s">
        <v>337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7">
      <c r="A9" s="2" t="s">
        <v>338</v>
      </c>
      <c r="B9" s="2" t="s">
        <v>339</v>
      </c>
      <c r="C9" s="2" t="s">
        <v>340</v>
      </c>
      <c r="D9" s="2" t="s">
        <v>341</v>
      </c>
      <c r="E9" s="2" t="s">
        <v>342</v>
      </c>
      <c r="F9" s="2">
        <v>3</v>
      </c>
      <c r="G9" s="2">
        <v>4</v>
      </c>
      <c r="H9" s="2" t="s">
        <v>343</v>
      </c>
      <c r="I9" s="2" t="s">
        <v>51</v>
      </c>
      <c r="J9" s="2" t="s">
        <v>344</v>
      </c>
      <c r="K9" s="2" t="s">
        <v>345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7">
      <c r="A10" s="2" t="s">
        <v>346</v>
      </c>
      <c r="B10" s="2" t="s">
        <v>347</v>
      </c>
      <c r="C10" s="2" t="s">
        <v>348</v>
      </c>
      <c r="D10" s="2" t="s">
        <v>349</v>
      </c>
      <c r="E10" s="2" t="s">
        <v>350</v>
      </c>
      <c r="F10" s="2">
        <v>3</v>
      </c>
      <c r="G10" s="2">
        <v>5</v>
      </c>
      <c r="H10" s="2" t="s">
        <v>351</v>
      </c>
      <c r="I10" s="2" t="s">
        <v>352</v>
      </c>
      <c r="J10" s="2" t="s">
        <v>353</v>
      </c>
      <c r="K10" s="2" t="s">
        <v>354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7">
      <c r="A11" s="2" t="s">
        <v>355</v>
      </c>
      <c r="B11" s="2" t="s">
        <v>68</v>
      </c>
      <c r="C11" s="2" t="s">
        <v>356</v>
      </c>
      <c r="D11" s="2" t="s">
        <v>357</v>
      </c>
      <c r="E11" s="2" t="s">
        <v>358</v>
      </c>
      <c r="F11" s="2">
        <v>4</v>
      </c>
      <c r="G11" s="2">
        <v>5</v>
      </c>
      <c r="H11" s="2" t="s">
        <v>359</v>
      </c>
      <c r="I11" s="2" t="s">
        <v>360</v>
      </c>
      <c r="J11" s="2" t="s">
        <v>361</v>
      </c>
      <c r="K11" s="2" t="s">
        <v>362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7">
      <c r="A12" s="2" t="s">
        <v>363</v>
      </c>
      <c r="B12" s="2" t="s">
        <v>364</v>
      </c>
      <c r="C12" s="2" t="s">
        <v>365</v>
      </c>
      <c r="D12" s="2" t="s">
        <v>366</v>
      </c>
      <c r="E12" s="2" t="s">
        <v>367</v>
      </c>
      <c r="F12" s="2">
        <v>2</v>
      </c>
      <c r="G12" s="2">
        <v>4</v>
      </c>
      <c r="H12" s="2" t="s">
        <v>368</v>
      </c>
      <c r="I12" s="2" t="s">
        <v>51</v>
      </c>
      <c r="J12" s="2" t="s">
        <v>369</v>
      </c>
      <c r="K12" s="2" t="s">
        <v>370</v>
      </c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K1"/>
    <mergeCell ref="A2:K2"/>
  </mergeCells>
  <dataValidations count="2">
    <dataValidation type="list" sqref="B5:B204" xr:uid="{00000000-0002-0000-0100-000000000000}">
      <formula1>"Анализ проблем,Анализ отзывов,Анализ конкурентов,Анализ цифрового товара,Ценностное предложение,Бизнес-модель Канвас,Бизнес-логика,Пользовательский сценарий"</formula1>
    </dataValidation>
    <dataValidation type="list" sqref="F5:G204" xr:uid="{00000000-0002-0000-01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05"/>
  <sheetViews>
    <sheetView workbookViewId="0"/>
  </sheetViews>
  <sheetFormatPr defaultRowHeight="13.5"/>
  <cols>
    <col min="1" max="1" width="12" customWidth="1"/>
    <col min="2" max="2" width="24" customWidth="1"/>
    <col min="3" max="3" width="34" customWidth="1"/>
    <col min="4" max="4" width="38" customWidth="1"/>
    <col min="5" max="5" width="34" customWidth="1"/>
    <col min="6" max="6" width="18" customWidth="1"/>
    <col min="7" max="7" width="20" customWidth="1"/>
    <col min="8" max="8" width="14" customWidth="1"/>
    <col min="9" max="9" width="22" customWidth="1"/>
    <col min="10" max="10" width="34" customWidth="1"/>
  </cols>
  <sheetData>
    <row r="1" spans="1:21" ht="16.05" customHeight="1">
      <c r="A1" s="6" t="s">
        <v>53</v>
      </c>
      <c r="B1" s="6"/>
      <c r="C1" s="6"/>
      <c r="D1" s="6"/>
      <c r="E1" s="6"/>
      <c r="F1" s="6"/>
      <c r="G1" s="6"/>
      <c r="H1" s="6"/>
      <c r="I1" s="6"/>
      <c r="J1" s="6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05" customHeight="1">
      <c r="A2" s="7" t="s">
        <v>54</v>
      </c>
      <c r="B2" s="7"/>
      <c r="C2" s="7"/>
      <c r="D2" s="7"/>
      <c r="E2" s="7"/>
      <c r="F2" s="7"/>
      <c r="G2" s="7"/>
      <c r="H2" s="7"/>
      <c r="I2" s="7"/>
      <c r="J2" s="7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05" customHeight="1">
      <c r="A4" s="3" t="s">
        <v>55</v>
      </c>
      <c r="B4" s="3" t="s">
        <v>56</v>
      </c>
      <c r="C4" s="3" t="s">
        <v>57</v>
      </c>
      <c r="D4" s="3" t="s">
        <v>58</v>
      </c>
      <c r="E4" s="3" t="s">
        <v>59</v>
      </c>
      <c r="F4" s="3" t="s">
        <v>60</v>
      </c>
      <c r="G4" s="3" t="s">
        <v>61</v>
      </c>
      <c r="H4" s="3" t="s">
        <v>62</v>
      </c>
      <c r="I4" s="3" t="s">
        <v>63</v>
      </c>
      <c r="J4" s="3" t="s">
        <v>64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7">
      <c r="A5" s="2" t="s">
        <v>47</v>
      </c>
      <c r="B5" s="2" t="s">
        <v>371</v>
      </c>
      <c r="C5" s="2" t="s">
        <v>372</v>
      </c>
      <c r="D5" s="2" t="s">
        <v>373</v>
      </c>
      <c r="E5" s="2" t="s">
        <v>374</v>
      </c>
      <c r="F5" s="2">
        <v>4</v>
      </c>
      <c r="G5" s="2">
        <v>4</v>
      </c>
      <c r="H5" s="2">
        <v>4</v>
      </c>
      <c r="I5" s="2" t="s">
        <v>375</v>
      </c>
      <c r="J5" s="2" t="s">
        <v>376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2" t="s">
        <v>51</v>
      </c>
      <c r="B6" s="2" t="s">
        <v>66</v>
      </c>
      <c r="C6" s="2" t="s">
        <v>377</v>
      </c>
      <c r="D6" s="2" t="s">
        <v>341</v>
      </c>
      <c r="E6" s="2" t="s">
        <v>378</v>
      </c>
      <c r="F6" s="2">
        <v>3</v>
      </c>
      <c r="G6" s="2">
        <v>4</v>
      </c>
      <c r="H6" s="2">
        <v>5</v>
      </c>
      <c r="I6" s="2" t="s">
        <v>379</v>
      </c>
      <c r="J6" s="2" t="s">
        <v>380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7">
      <c r="A7" s="2" t="s">
        <v>328</v>
      </c>
      <c r="B7" s="2" t="s">
        <v>381</v>
      </c>
      <c r="C7" s="2" t="s">
        <v>382</v>
      </c>
      <c r="D7" s="2" t="s">
        <v>383</v>
      </c>
      <c r="E7" s="2" t="s">
        <v>384</v>
      </c>
      <c r="F7" s="2">
        <v>4</v>
      </c>
      <c r="G7" s="2">
        <v>5</v>
      </c>
      <c r="H7" s="2">
        <v>4</v>
      </c>
      <c r="I7" s="2" t="s">
        <v>290</v>
      </c>
      <c r="J7" s="2" t="s">
        <v>385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352</v>
      </c>
      <c r="B8" s="2" t="s">
        <v>386</v>
      </c>
      <c r="C8" s="2" t="s">
        <v>387</v>
      </c>
      <c r="D8" s="2" t="s">
        <v>388</v>
      </c>
      <c r="E8" s="2" t="s">
        <v>389</v>
      </c>
      <c r="F8" s="2">
        <v>4</v>
      </c>
      <c r="G8" s="2">
        <v>3</v>
      </c>
      <c r="H8" s="2">
        <v>5</v>
      </c>
      <c r="I8" s="2" t="s">
        <v>390</v>
      </c>
      <c r="J8" s="2" t="s">
        <v>391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7">
      <c r="A9" s="2" t="s">
        <v>392</v>
      </c>
      <c r="B9" s="2" t="s">
        <v>393</v>
      </c>
      <c r="C9" s="2" t="s">
        <v>394</v>
      </c>
      <c r="D9" s="2" t="s">
        <v>395</v>
      </c>
      <c r="E9" s="2" t="s">
        <v>396</v>
      </c>
      <c r="F9" s="2">
        <v>5</v>
      </c>
      <c r="G9" s="2">
        <v>3</v>
      </c>
      <c r="H9" s="2">
        <v>3</v>
      </c>
      <c r="I9" s="2" t="s">
        <v>303</v>
      </c>
      <c r="J9" s="2" t="s">
        <v>397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J1"/>
    <mergeCell ref="A2:J2"/>
  </mergeCells>
  <dataValidations count="2">
    <dataValidation type="list" sqref="H5:H104" xr:uid="{00000000-0002-0000-0200-000000000000}">
      <formula1>"1,2,3,4,5"</formula1>
    </dataValidation>
    <dataValidation type="list" sqref="I5:I104" xr:uid="{00000000-0002-0000-0200-000001000000}">
      <formula1>"Поиск,Реклама,Социальные сети,Рекомендация,Партнерский канал,Прямой вход,Уведомление,Внутренний переход"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05"/>
  <sheetViews>
    <sheetView workbookViewId="0"/>
  </sheetViews>
  <sheetFormatPr defaultRowHeight="13.5"/>
  <cols>
    <col min="1" max="1" width="13" customWidth="1"/>
    <col min="2" max="2" width="12" customWidth="1"/>
    <col min="3" max="3" width="20" customWidth="1"/>
    <col min="4" max="5" width="34" customWidth="1"/>
    <col min="6" max="6" width="48" customWidth="1"/>
    <col min="7" max="7" width="40" customWidth="1"/>
    <col min="8" max="8" width="38" customWidth="1"/>
    <col min="9" max="9" width="30" customWidth="1"/>
    <col min="10" max="10" width="14" customWidth="1"/>
    <col min="11" max="12" width="12" customWidth="1"/>
    <col min="13" max="13" width="16" customWidth="1"/>
    <col min="14" max="14" width="20" customWidth="1"/>
    <col min="15" max="15" width="16" customWidth="1"/>
  </cols>
  <sheetData>
    <row r="1" spans="1:21" ht="16.05" customHeight="1">
      <c r="A1" s="6" t="s">
        <v>68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2"/>
      <c r="Q1" s="2"/>
      <c r="R1" s="2"/>
      <c r="S1" s="2"/>
      <c r="T1" s="2"/>
      <c r="U1" s="2"/>
    </row>
    <row r="2" spans="1:21" ht="16.05" customHeight="1">
      <c r="A2" s="7" t="s">
        <v>69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05" customHeight="1">
      <c r="A4" s="3" t="s">
        <v>70</v>
      </c>
      <c r="B4" s="3" t="s">
        <v>55</v>
      </c>
      <c r="C4" s="3" t="s">
        <v>71</v>
      </c>
      <c r="D4" s="3" t="s">
        <v>72</v>
      </c>
      <c r="E4" s="3" t="s">
        <v>73</v>
      </c>
      <c r="F4" s="3" t="s">
        <v>74</v>
      </c>
      <c r="G4" s="3" t="s">
        <v>75</v>
      </c>
      <c r="H4" s="3" t="s">
        <v>76</v>
      </c>
      <c r="I4" s="3" t="s">
        <v>77</v>
      </c>
      <c r="J4" s="3" t="s">
        <v>78</v>
      </c>
      <c r="K4" s="3" t="s">
        <v>79</v>
      </c>
      <c r="L4" s="3" t="s">
        <v>80</v>
      </c>
      <c r="M4" s="3" t="s">
        <v>81</v>
      </c>
      <c r="N4" s="3" t="s">
        <v>82</v>
      </c>
      <c r="O4" s="3" t="s">
        <v>83</v>
      </c>
      <c r="P4" s="2"/>
      <c r="Q4" s="2"/>
      <c r="R4" s="2"/>
      <c r="S4" s="2"/>
      <c r="T4" s="2"/>
      <c r="U4" s="2"/>
    </row>
    <row r="5" spans="1:21" ht="27">
      <c r="A5" s="2" t="s">
        <v>52</v>
      </c>
      <c r="B5" s="2" t="s">
        <v>47</v>
      </c>
      <c r="C5" s="2" t="s">
        <v>398</v>
      </c>
      <c r="D5" s="2" t="s">
        <v>372</v>
      </c>
      <c r="E5" s="2" t="s">
        <v>399</v>
      </c>
      <c r="F5" s="2" t="s">
        <v>400</v>
      </c>
      <c r="G5" s="2" t="s">
        <v>401</v>
      </c>
      <c r="H5" s="2" t="s">
        <v>402</v>
      </c>
      <c r="I5" s="2" t="s">
        <v>403</v>
      </c>
      <c r="J5" s="2">
        <v>4</v>
      </c>
      <c r="K5" s="2">
        <v>4</v>
      </c>
      <c r="L5" s="2">
        <v>2</v>
      </c>
      <c r="M5" s="2">
        <f>IF(A5="","",COUNTIF(Страницы_и_экраны!$E$5:$E$304,A5))</f>
        <v>1</v>
      </c>
      <c r="N5" s="2" t="str">
        <f t="shared" ref="N5:N68" si="0">IF(A5="","",IF(M5&gt;0,"Покрыт","Нет страницы/экрана"))</f>
        <v>Покрыт</v>
      </c>
      <c r="O5" s="2">
        <f t="shared" ref="O5:O68" si="1">IF(A5="","",MAX(0,MIN(100,ROUND(((J5*0.45)+(K5*0.35)-(L5*0.2))*20,0))))</f>
        <v>56</v>
      </c>
      <c r="P5" s="2"/>
      <c r="Q5" s="2"/>
      <c r="R5" s="2"/>
      <c r="S5" s="2"/>
      <c r="T5" s="2"/>
      <c r="U5" s="2"/>
    </row>
    <row r="6" spans="1:21" ht="27">
      <c r="A6" s="2" t="s">
        <v>85</v>
      </c>
      <c r="B6" s="2" t="s">
        <v>47</v>
      </c>
      <c r="C6" s="2" t="s">
        <v>404</v>
      </c>
      <c r="D6" s="2" t="s">
        <v>405</v>
      </c>
      <c r="E6" s="2" t="s">
        <v>406</v>
      </c>
      <c r="F6" s="2" t="s">
        <v>407</v>
      </c>
      <c r="G6" s="2" t="s">
        <v>408</v>
      </c>
      <c r="H6" s="2" t="s">
        <v>409</v>
      </c>
      <c r="I6" s="2" t="s">
        <v>410</v>
      </c>
      <c r="J6" s="2">
        <v>4</v>
      </c>
      <c r="K6" s="2">
        <v>4</v>
      </c>
      <c r="L6" s="2">
        <v>2</v>
      </c>
      <c r="M6" s="2">
        <f>IF(A6="","",COUNTIF(Страницы_и_экраны!$E$5:$E$304,A6))</f>
        <v>2</v>
      </c>
      <c r="N6" s="2" t="str">
        <f t="shared" si="0"/>
        <v>Покрыт</v>
      </c>
      <c r="O6" s="2">
        <f t="shared" si="1"/>
        <v>56</v>
      </c>
      <c r="P6" s="2"/>
      <c r="Q6" s="2"/>
      <c r="R6" s="2"/>
      <c r="S6" s="2"/>
      <c r="T6" s="2"/>
      <c r="U6" s="2"/>
    </row>
    <row r="7" spans="1:21" ht="27">
      <c r="A7" s="2" t="s">
        <v>48</v>
      </c>
      <c r="B7" s="2" t="s">
        <v>51</v>
      </c>
      <c r="C7" s="2" t="s">
        <v>411</v>
      </c>
      <c r="D7" s="2" t="s">
        <v>412</v>
      </c>
      <c r="E7" s="2" t="s">
        <v>413</v>
      </c>
      <c r="F7" s="2" t="s">
        <v>414</v>
      </c>
      <c r="G7" s="2" t="s">
        <v>415</v>
      </c>
      <c r="H7" s="2" t="s">
        <v>416</v>
      </c>
      <c r="I7" s="2" t="s">
        <v>417</v>
      </c>
      <c r="J7" s="2">
        <v>4</v>
      </c>
      <c r="K7" s="2">
        <v>4</v>
      </c>
      <c r="L7" s="2">
        <v>2</v>
      </c>
      <c r="M7" s="2">
        <f>IF(A7="","",COUNTIF(Страницы_и_экраны!$E$5:$E$304,A7))</f>
        <v>1</v>
      </c>
      <c r="N7" s="2" t="str">
        <f t="shared" si="0"/>
        <v>Покрыт</v>
      </c>
      <c r="O7" s="2">
        <f t="shared" si="1"/>
        <v>56</v>
      </c>
      <c r="P7" s="2"/>
      <c r="Q7" s="2"/>
      <c r="R7" s="2"/>
      <c r="S7" s="2"/>
      <c r="T7" s="2"/>
      <c r="U7" s="2"/>
    </row>
    <row r="8" spans="1:21" ht="27">
      <c r="A8" s="2" t="s">
        <v>418</v>
      </c>
      <c r="B8" s="2" t="s">
        <v>51</v>
      </c>
      <c r="C8" s="2" t="s">
        <v>419</v>
      </c>
      <c r="D8" s="2" t="s">
        <v>420</v>
      </c>
      <c r="E8" s="2" t="s">
        <v>421</v>
      </c>
      <c r="F8" s="2" t="s">
        <v>422</v>
      </c>
      <c r="G8" s="2" t="s">
        <v>423</v>
      </c>
      <c r="H8" s="2" t="s">
        <v>424</v>
      </c>
      <c r="I8" s="2" t="s">
        <v>425</v>
      </c>
      <c r="J8" s="2">
        <v>5</v>
      </c>
      <c r="K8" s="2">
        <v>5</v>
      </c>
      <c r="L8" s="2">
        <v>4</v>
      </c>
      <c r="M8" s="2">
        <f>IF(A8="","",COUNTIF(Страницы_и_экраны!$E$5:$E$304,A8))</f>
        <v>2</v>
      </c>
      <c r="N8" s="2" t="str">
        <f t="shared" si="0"/>
        <v>Покрыт</v>
      </c>
      <c r="O8" s="2">
        <f t="shared" si="1"/>
        <v>64</v>
      </c>
      <c r="P8" s="2"/>
      <c r="Q8" s="2"/>
      <c r="R8" s="2"/>
      <c r="S8" s="2"/>
      <c r="T8" s="2"/>
      <c r="U8" s="2"/>
    </row>
    <row r="9" spans="1:21" ht="27">
      <c r="A9" s="2" t="s">
        <v>329</v>
      </c>
      <c r="B9" s="2" t="s">
        <v>328</v>
      </c>
      <c r="C9" s="2" t="s">
        <v>419</v>
      </c>
      <c r="D9" s="2" t="s">
        <v>426</v>
      </c>
      <c r="E9" s="2" t="s">
        <v>427</v>
      </c>
      <c r="F9" s="2" t="s">
        <v>428</v>
      </c>
      <c r="G9" s="2" t="s">
        <v>429</v>
      </c>
      <c r="H9" s="2" t="s">
        <v>424</v>
      </c>
      <c r="I9" s="2" t="s">
        <v>430</v>
      </c>
      <c r="J9" s="2">
        <v>5</v>
      </c>
      <c r="K9" s="2">
        <v>3</v>
      </c>
      <c r="L9" s="2">
        <v>4</v>
      </c>
      <c r="M9" s="2">
        <f>IF(A9="","",COUNTIF(Страницы_и_экраны!$E$5:$E$304,A9))</f>
        <v>1</v>
      </c>
      <c r="N9" s="2" t="str">
        <f t="shared" si="0"/>
        <v>Покрыт</v>
      </c>
      <c r="O9" s="2">
        <f t="shared" si="1"/>
        <v>50</v>
      </c>
      <c r="P9" s="2"/>
      <c r="Q9" s="2"/>
      <c r="R9" s="2"/>
      <c r="S9" s="2"/>
      <c r="T9" s="2"/>
      <c r="U9" s="2"/>
    </row>
    <row r="10" spans="1:21" ht="27">
      <c r="A10" s="2" t="s">
        <v>369</v>
      </c>
      <c r="B10" s="2" t="s">
        <v>51</v>
      </c>
      <c r="C10" s="2" t="s">
        <v>419</v>
      </c>
      <c r="D10" s="2" t="s">
        <v>431</v>
      </c>
      <c r="E10" s="2" t="s">
        <v>432</v>
      </c>
      <c r="F10" s="2" t="s">
        <v>433</v>
      </c>
      <c r="G10" s="2" t="s">
        <v>434</v>
      </c>
      <c r="H10" s="2" t="s">
        <v>435</v>
      </c>
      <c r="I10" s="2" t="s">
        <v>436</v>
      </c>
      <c r="J10" s="2">
        <v>5</v>
      </c>
      <c r="K10" s="2">
        <v>5</v>
      </c>
      <c r="L10" s="2">
        <v>2</v>
      </c>
      <c r="M10" s="2">
        <f>IF(A10="","",COUNTIF(Страницы_и_экраны!$E$5:$E$304,A10))</f>
        <v>1</v>
      </c>
      <c r="N10" s="2" t="str">
        <f t="shared" si="0"/>
        <v>Покрыт</v>
      </c>
      <c r="O10" s="2">
        <f t="shared" si="1"/>
        <v>72</v>
      </c>
      <c r="P10" s="2"/>
      <c r="Q10" s="2"/>
      <c r="R10" s="2"/>
      <c r="S10" s="2"/>
      <c r="T10" s="2"/>
      <c r="U10" s="2"/>
    </row>
    <row r="11" spans="1:21" ht="27">
      <c r="A11" s="2" t="s">
        <v>437</v>
      </c>
      <c r="B11" s="2" t="s">
        <v>328</v>
      </c>
      <c r="C11" s="2" t="s">
        <v>438</v>
      </c>
      <c r="D11" s="2" t="s">
        <v>439</v>
      </c>
      <c r="E11" s="2" t="s">
        <v>440</v>
      </c>
      <c r="F11" s="2" t="s">
        <v>441</v>
      </c>
      <c r="G11" s="2" t="s">
        <v>442</v>
      </c>
      <c r="H11" s="2" t="s">
        <v>443</v>
      </c>
      <c r="I11" s="2" t="s">
        <v>116</v>
      </c>
      <c r="J11" s="2">
        <v>4</v>
      </c>
      <c r="K11" s="2">
        <v>4</v>
      </c>
      <c r="L11" s="2">
        <v>3</v>
      </c>
      <c r="M11" s="2">
        <f>IF(A11="","",COUNTIF(Страницы_и_экраны!$E$5:$E$304,A11))</f>
        <v>1</v>
      </c>
      <c r="N11" s="2" t="str">
        <f t="shared" si="0"/>
        <v>Покрыт</v>
      </c>
      <c r="O11" s="2">
        <f t="shared" si="1"/>
        <v>52</v>
      </c>
      <c r="P11" s="2"/>
      <c r="Q11" s="2"/>
      <c r="R11" s="2"/>
      <c r="S11" s="2"/>
      <c r="T11" s="2"/>
      <c r="U11" s="2"/>
    </row>
    <row r="12" spans="1:21">
      <c r="A12" s="2" t="s">
        <v>353</v>
      </c>
      <c r="B12" s="2" t="s">
        <v>352</v>
      </c>
      <c r="C12" s="2" t="s">
        <v>444</v>
      </c>
      <c r="D12" s="2" t="s">
        <v>445</v>
      </c>
      <c r="E12" s="2" t="s">
        <v>446</v>
      </c>
      <c r="F12" s="2" t="s">
        <v>447</v>
      </c>
      <c r="G12" s="2" t="s">
        <v>448</v>
      </c>
      <c r="H12" s="2" t="s">
        <v>449</v>
      </c>
      <c r="I12" s="2" t="s">
        <v>450</v>
      </c>
      <c r="J12" s="2">
        <v>5</v>
      </c>
      <c r="K12" s="2">
        <v>3</v>
      </c>
      <c r="L12" s="2">
        <v>3</v>
      </c>
      <c r="M12" s="2">
        <f>IF(A12="","",COUNTIF(Страницы_и_экраны!$E$5:$E$304,A12))</f>
        <v>2</v>
      </c>
      <c r="N12" s="2" t="str">
        <f t="shared" si="0"/>
        <v>Покрыт</v>
      </c>
      <c r="O12" s="2">
        <f t="shared" si="1"/>
        <v>54</v>
      </c>
      <c r="P12" s="2"/>
      <c r="Q12" s="2"/>
      <c r="R12" s="2"/>
      <c r="S12" s="2"/>
      <c r="T12" s="2"/>
      <c r="U12" s="2"/>
    </row>
    <row r="13" spans="1:21" ht="27">
      <c r="A13" s="2" t="s">
        <v>451</v>
      </c>
      <c r="B13" s="2" t="s">
        <v>51</v>
      </c>
      <c r="C13" s="2" t="s">
        <v>452</v>
      </c>
      <c r="D13" s="2" t="s">
        <v>453</v>
      </c>
      <c r="E13" s="2" t="s">
        <v>454</v>
      </c>
      <c r="F13" s="2" t="s">
        <v>455</v>
      </c>
      <c r="G13" s="2" t="s">
        <v>456</v>
      </c>
      <c r="H13" s="2" t="s">
        <v>457</v>
      </c>
      <c r="I13" s="2" t="s">
        <v>458</v>
      </c>
      <c r="J13" s="2">
        <v>4</v>
      </c>
      <c r="K13" s="2">
        <v>4</v>
      </c>
      <c r="L13" s="2">
        <v>3</v>
      </c>
      <c r="M13" s="2">
        <f>IF(A13="","",COUNTIF(Страницы_и_экраны!$E$5:$E$304,A13))</f>
        <v>1</v>
      </c>
      <c r="N13" s="2" t="str">
        <f t="shared" si="0"/>
        <v>Покрыт</v>
      </c>
      <c r="O13" s="2">
        <f t="shared" si="1"/>
        <v>52</v>
      </c>
      <c r="P13" s="2"/>
      <c r="Q13" s="2"/>
      <c r="R13" s="2"/>
      <c r="S13" s="2"/>
      <c r="T13" s="2"/>
      <c r="U13" s="2"/>
    </row>
    <row r="14" spans="1:21">
      <c r="A14" s="2" t="s">
        <v>459</v>
      </c>
      <c r="B14" s="2" t="s">
        <v>328</v>
      </c>
      <c r="C14" s="2" t="s">
        <v>452</v>
      </c>
      <c r="D14" s="2" t="s">
        <v>460</v>
      </c>
      <c r="E14" s="2" t="s">
        <v>461</v>
      </c>
      <c r="F14" s="2" t="s">
        <v>462</v>
      </c>
      <c r="G14" s="2" t="s">
        <v>456</v>
      </c>
      <c r="H14" s="2" t="s">
        <v>463</v>
      </c>
      <c r="I14" s="2" t="s">
        <v>464</v>
      </c>
      <c r="J14" s="2">
        <v>3</v>
      </c>
      <c r="K14" s="2">
        <v>3</v>
      </c>
      <c r="L14" s="2">
        <v>2</v>
      </c>
      <c r="M14" s="2">
        <f>IF(A14="","",COUNTIF(Страницы_и_экраны!$E$5:$E$304,A14))</f>
        <v>1</v>
      </c>
      <c r="N14" s="2" t="str">
        <f t="shared" si="0"/>
        <v>Покрыт</v>
      </c>
      <c r="O14" s="2">
        <f t="shared" si="1"/>
        <v>40</v>
      </c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 t="str">
        <f>IF(A15="","",COUNTIF(Страницы_и_экраны!$E$5:$E$304,A15))</f>
        <v/>
      </c>
      <c r="N15" s="2" t="str">
        <f t="shared" si="0"/>
        <v/>
      </c>
      <c r="O15" s="2" t="str">
        <f t="shared" si="1"/>
        <v/>
      </c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 t="str">
        <f>IF(A16="","",COUNTIF(Страницы_и_экраны!$E$5:$E$304,A16))</f>
        <v/>
      </c>
      <c r="N16" s="2" t="str">
        <f t="shared" si="0"/>
        <v/>
      </c>
      <c r="O16" s="2" t="str">
        <f t="shared" si="1"/>
        <v/>
      </c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 t="str">
        <f>IF(A17="","",COUNTIF(Страницы_и_экраны!$E$5:$E$304,A17))</f>
        <v/>
      </c>
      <c r="N17" s="2" t="str">
        <f t="shared" si="0"/>
        <v/>
      </c>
      <c r="O17" s="2" t="str">
        <f t="shared" si="1"/>
        <v/>
      </c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 t="str">
        <f>IF(A18="","",COUNTIF(Страницы_и_экраны!$E$5:$E$304,A18))</f>
        <v/>
      </c>
      <c r="N18" s="2" t="str">
        <f t="shared" si="0"/>
        <v/>
      </c>
      <c r="O18" s="2" t="str">
        <f t="shared" si="1"/>
        <v/>
      </c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 t="str">
        <f>IF(A19="","",COUNTIF(Страницы_и_экраны!$E$5:$E$304,A19))</f>
        <v/>
      </c>
      <c r="N19" s="2" t="str">
        <f t="shared" si="0"/>
        <v/>
      </c>
      <c r="O19" s="2" t="str">
        <f t="shared" si="1"/>
        <v/>
      </c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 t="str">
        <f>IF(A20="","",COUNTIF(Страницы_и_экраны!$E$5:$E$304,A20))</f>
        <v/>
      </c>
      <c r="N20" s="2" t="str">
        <f t="shared" si="0"/>
        <v/>
      </c>
      <c r="O20" s="2" t="str">
        <f t="shared" si="1"/>
        <v/>
      </c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 t="str">
        <f>IF(A21="","",COUNTIF(Страницы_и_экраны!$E$5:$E$304,A21))</f>
        <v/>
      </c>
      <c r="N21" s="2" t="str">
        <f t="shared" si="0"/>
        <v/>
      </c>
      <c r="O21" s="2" t="str">
        <f t="shared" si="1"/>
        <v/>
      </c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 t="str">
        <f>IF(A22="","",COUNTIF(Страницы_и_экраны!$E$5:$E$304,A22))</f>
        <v/>
      </c>
      <c r="N22" s="2" t="str">
        <f t="shared" si="0"/>
        <v/>
      </c>
      <c r="O22" s="2" t="str">
        <f t="shared" si="1"/>
        <v/>
      </c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 t="str">
        <f>IF(A23="","",COUNTIF(Страницы_и_экраны!$E$5:$E$304,A23))</f>
        <v/>
      </c>
      <c r="N23" s="2" t="str">
        <f t="shared" si="0"/>
        <v/>
      </c>
      <c r="O23" s="2" t="str">
        <f t="shared" si="1"/>
        <v/>
      </c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 t="str">
        <f>IF(A24="","",COUNTIF(Страницы_и_экраны!$E$5:$E$304,A24))</f>
        <v/>
      </c>
      <c r="N24" s="2" t="str">
        <f t="shared" si="0"/>
        <v/>
      </c>
      <c r="O24" s="2" t="str">
        <f t="shared" si="1"/>
        <v/>
      </c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 t="str">
        <f>IF(A25="","",COUNTIF(Страницы_и_экраны!$E$5:$E$304,A25))</f>
        <v/>
      </c>
      <c r="N25" s="2" t="str">
        <f t="shared" si="0"/>
        <v/>
      </c>
      <c r="O25" s="2" t="str">
        <f t="shared" si="1"/>
        <v/>
      </c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 t="str">
        <f>IF(A26="","",COUNTIF(Страницы_и_экраны!$E$5:$E$304,A26))</f>
        <v/>
      </c>
      <c r="N26" s="2" t="str">
        <f t="shared" si="0"/>
        <v/>
      </c>
      <c r="O26" s="2" t="str">
        <f t="shared" si="1"/>
        <v/>
      </c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 t="str">
        <f>IF(A27="","",COUNTIF(Страницы_и_экраны!$E$5:$E$304,A27))</f>
        <v/>
      </c>
      <c r="N27" s="2" t="str">
        <f t="shared" si="0"/>
        <v/>
      </c>
      <c r="O27" s="2" t="str">
        <f t="shared" si="1"/>
        <v/>
      </c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 t="str">
        <f>IF(A28="","",COUNTIF(Страницы_и_экраны!$E$5:$E$304,A28))</f>
        <v/>
      </c>
      <c r="N28" s="2" t="str">
        <f t="shared" si="0"/>
        <v/>
      </c>
      <c r="O28" s="2" t="str">
        <f t="shared" si="1"/>
        <v/>
      </c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 t="str">
        <f>IF(A29="","",COUNTIF(Страницы_и_экраны!$E$5:$E$304,A29))</f>
        <v/>
      </c>
      <c r="N29" s="2" t="str">
        <f t="shared" si="0"/>
        <v/>
      </c>
      <c r="O29" s="2" t="str">
        <f t="shared" si="1"/>
        <v/>
      </c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 t="str">
        <f>IF(A30="","",COUNTIF(Страницы_и_экраны!$E$5:$E$304,A30))</f>
        <v/>
      </c>
      <c r="N30" s="2" t="str">
        <f t="shared" si="0"/>
        <v/>
      </c>
      <c r="O30" s="2" t="str">
        <f t="shared" si="1"/>
        <v/>
      </c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 t="str">
        <f>IF(A31="","",COUNTIF(Страницы_и_экраны!$E$5:$E$304,A31))</f>
        <v/>
      </c>
      <c r="N31" s="2" t="str">
        <f t="shared" si="0"/>
        <v/>
      </c>
      <c r="O31" s="2" t="str">
        <f t="shared" si="1"/>
        <v/>
      </c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 t="str">
        <f>IF(A32="","",COUNTIF(Страницы_и_экраны!$E$5:$E$304,A32))</f>
        <v/>
      </c>
      <c r="N32" s="2" t="str">
        <f t="shared" si="0"/>
        <v/>
      </c>
      <c r="O32" s="2" t="str">
        <f t="shared" si="1"/>
        <v/>
      </c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 t="str">
        <f>IF(A33="","",COUNTIF(Страницы_и_экраны!$E$5:$E$304,A33))</f>
        <v/>
      </c>
      <c r="N33" s="2" t="str">
        <f t="shared" si="0"/>
        <v/>
      </c>
      <c r="O33" s="2" t="str">
        <f t="shared" si="1"/>
        <v/>
      </c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 t="str">
        <f>IF(A34="","",COUNTIF(Страницы_и_экраны!$E$5:$E$304,A34))</f>
        <v/>
      </c>
      <c r="N34" s="2" t="str">
        <f t="shared" si="0"/>
        <v/>
      </c>
      <c r="O34" s="2" t="str">
        <f t="shared" si="1"/>
        <v/>
      </c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 t="str">
        <f>IF(A35="","",COUNTIF(Страницы_и_экраны!$E$5:$E$304,A35))</f>
        <v/>
      </c>
      <c r="N35" s="2" t="str">
        <f t="shared" si="0"/>
        <v/>
      </c>
      <c r="O35" s="2" t="str">
        <f t="shared" si="1"/>
        <v/>
      </c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 t="str">
        <f>IF(A36="","",COUNTIF(Страницы_и_экраны!$E$5:$E$304,A36))</f>
        <v/>
      </c>
      <c r="N36" s="2" t="str">
        <f t="shared" si="0"/>
        <v/>
      </c>
      <c r="O36" s="2" t="str">
        <f t="shared" si="1"/>
        <v/>
      </c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 t="str">
        <f>IF(A37="","",COUNTIF(Страницы_и_экраны!$E$5:$E$304,A37))</f>
        <v/>
      </c>
      <c r="N37" s="2" t="str">
        <f t="shared" si="0"/>
        <v/>
      </c>
      <c r="O37" s="2" t="str">
        <f t="shared" si="1"/>
        <v/>
      </c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 t="str">
        <f>IF(A38="","",COUNTIF(Страницы_и_экраны!$E$5:$E$304,A38))</f>
        <v/>
      </c>
      <c r="N38" s="2" t="str">
        <f t="shared" si="0"/>
        <v/>
      </c>
      <c r="O38" s="2" t="str">
        <f t="shared" si="1"/>
        <v/>
      </c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 t="str">
        <f>IF(A39="","",COUNTIF(Страницы_и_экраны!$E$5:$E$304,A39))</f>
        <v/>
      </c>
      <c r="N39" s="2" t="str">
        <f t="shared" si="0"/>
        <v/>
      </c>
      <c r="O39" s="2" t="str">
        <f t="shared" si="1"/>
        <v/>
      </c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 t="str">
        <f>IF(A40="","",COUNTIF(Страницы_и_экраны!$E$5:$E$304,A40))</f>
        <v/>
      </c>
      <c r="N40" s="2" t="str">
        <f t="shared" si="0"/>
        <v/>
      </c>
      <c r="O40" s="2" t="str">
        <f t="shared" si="1"/>
        <v/>
      </c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 t="str">
        <f>IF(A41="","",COUNTIF(Страницы_и_экраны!$E$5:$E$304,A41))</f>
        <v/>
      </c>
      <c r="N41" s="2" t="str">
        <f t="shared" si="0"/>
        <v/>
      </c>
      <c r="O41" s="2" t="str">
        <f t="shared" si="1"/>
        <v/>
      </c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 t="str">
        <f>IF(A42="","",COUNTIF(Страницы_и_экраны!$E$5:$E$304,A42))</f>
        <v/>
      </c>
      <c r="N42" s="2" t="str">
        <f t="shared" si="0"/>
        <v/>
      </c>
      <c r="O42" s="2" t="str">
        <f t="shared" si="1"/>
        <v/>
      </c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 t="str">
        <f>IF(A43="","",COUNTIF(Страницы_и_экраны!$E$5:$E$304,A43))</f>
        <v/>
      </c>
      <c r="N43" s="2" t="str">
        <f t="shared" si="0"/>
        <v/>
      </c>
      <c r="O43" s="2" t="str">
        <f t="shared" si="1"/>
        <v/>
      </c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 t="str">
        <f>IF(A44="","",COUNTIF(Страницы_и_экраны!$E$5:$E$304,A44))</f>
        <v/>
      </c>
      <c r="N44" s="2" t="str">
        <f t="shared" si="0"/>
        <v/>
      </c>
      <c r="O44" s="2" t="str">
        <f t="shared" si="1"/>
        <v/>
      </c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 t="str">
        <f>IF(A45="","",COUNTIF(Страницы_и_экраны!$E$5:$E$304,A45))</f>
        <v/>
      </c>
      <c r="N45" s="2" t="str">
        <f t="shared" si="0"/>
        <v/>
      </c>
      <c r="O45" s="2" t="str">
        <f t="shared" si="1"/>
        <v/>
      </c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 t="str">
        <f>IF(A46="","",COUNTIF(Страницы_и_экраны!$E$5:$E$304,A46))</f>
        <v/>
      </c>
      <c r="N46" s="2" t="str">
        <f t="shared" si="0"/>
        <v/>
      </c>
      <c r="O46" s="2" t="str">
        <f t="shared" si="1"/>
        <v/>
      </c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 t="str">
        <f>IF(A47="","",COUNTIF(Страницы_и_экраны!$E$5:$E$304,A47))</f>
        <v/>
      </c>
      <c r="N47" s="2" t="str">
        <f t="shared" si="0"/>
        <v/>
      </c>
      <c r="O47" s="2" t="str">
        <f t="shared" si="1"/>
        <v/>
      </c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 t="str">
        <f>IF(A48="","",COUNTIF(Страницы_и_экраны!$E$5:$E$304,A48))</f>
        <v/>
      </c>
      <c r="N48" s="2" t="str">
        <f t="shared" si="0"/>
        <v/>
      </c>
      <c r="O48" s="2" t="str">
        <f t="shared" si="1"/>
        <v/>
      </c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 t="str">
        <f>IF(A49="","",COUNTIF(Страницы_и_экраны!$E$5:$E$304,A49))</f>
        <v/>
      </c>
      <c r="N49" s="2" t="str">
        <f t="shared" si="0"/>
        <v/>
      </c>
      <c r="O49" s="2" t="str">
        <f t="shared" si="1"/>
        <v/>
      </c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 t="str">
        <f>IF(A50="","",COUNTIF(Страницы_и_экраны!$E$5:$E$304,A50))</f>
        <v/>
      </c>
      <c r="N50" s="2" t="str">
        <f t="shared" si="0"/>
        <v/>
      </c>
      <c r="O50" s="2" t="str">
        <f t="shared" si="1"/>
        <v/>
      </c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 t="str">
        <f>IF(A51="","",COUNTIF(Страницы_и_экраны!$E$5:$E$304,A51))</f>
        <v/>
      </c>
      <c r="N51" s="2" t="str">
        <f t="shared" si="0"/>
        <v/>
      </c>
      <c r="O51" s="2" t="str">
        <f t="shared" si="1"/>
        <v/>
      </c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 t="str">
        <f>IF(A52="","",COUNTIF(Страницы_и_экраны!$E$5:$E$304,A52))</f>
        <v/>
      </c>
      <c r="N52" s="2" t="str">
        <f t="shared" si="0"/>
        <v/>
      </c>
      <c r="O52" s="2" t="str">
        <f t="shared" si="1"/>
        <v/>
      </c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 t="str">
        <f>IF(A53="","",COUNTIF(Страницы_и_экраны!$E$5:$E$304,A53))</f>
        <v/>
      </c>
      <c r="N53" s="2" t="str">
        <f t="shared" si="0"/>
        <v/>
      </c>
      <c r="O53" s="2" t="str">
        <f t="shared" si="1"/>
        <v/>
      </c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 t="str">
        <f>IF(A54="","",COUNTIF(Страницы_и_экраны!$E$5:$E$304,A54))</f>
        <v/>
      </c>
      <c r="N54" s="2" t="str">
        <f t="shared" si="0"/>
        <v/>
      </c>
      <c r="O54" s="2" t="str">
        <f t="shared" si="1"/>
        <v/>
      </c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 t="str">
        <f>IF(A55="","",COUNTIF(Страницы_и_экраны!$E$5:$E$304,A55))</f>
        <v/>
      </c>
      <c r="N55" s="2" t="str">
        <f t="shared" si="0"/>
        <v/>
      </c>
      <c r="O55" s="2" t="str">
        <f t="shared" si="1"/>
        <v/>
      </c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 t="str">
        <f>IF(A56="","",COUNTIF(Страницы_и_экраны!$E$5:$E$304,A56))</f>
        <v/>
      </c>
      <c r="N56" s="2" t="str">
        <f t="shared" si="0"/>
        <v/>
      </c>
      <c r="O56" s="2" t="str">
        <f t="shared" si="1"/>
        <v/>
      </c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 t="str">
        <f>IF(A57="","",COUNTIF(Страницы_и_экраны!$E$5:$E$304,A57))</f>
        <v/>
      </c>
      <c r="N57" s="2" t="str">
        <f t="shared" si="0"/>
        <v/>
      </c>
      <c r="O57" s="2" t="str">
        <f t="shared" si="1"/>
        <v/>
      </c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 t="str">
        <f>IF(A58="","",COUNTIF(Страницы_и_экраны!$E$5:$E$304,A58))</f>
        <v/>
      </c>
      <c r="N58" s="2" t="str">
        <f t="shared" si="0"/>
        <v/>
      </c>
      <c r="O58" s="2" t="str">
        <f t="shared" si="1"/>
        <v/>
      </c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 t="str">
        <f>IF(A59="","",COUNTIF(Страницы_и_экраны!$E$5:$E$304,A59))</f>
        <v/>
      </c>
      <c r="N59" s="2" t="str">
        <f t="shared" si="0"/>
        <v/>
      </c>
      <c r="O59" s="2" t="str">
        <f t="shared" si="1"/>
        <v/>
      </c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 t="str">
        <f>IF(A60="","",COUNTIF(Страницы_и_экраны!$E$5:$E$304,A60))</f>
        <v/>
      </c>
      <c r="N60" s="2" t="str">
        <f t="shared" si="0"/>
        <v/>
      </c>
      <c r="O60" s="2" t="str">
        <f t="shared" si="1"/>
        <v/>
      </c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 t="str">
        <f>IF(A61="","",COUNTIF(Страницы_и_экраны!$E$5:$E$304,A61))</f>
        <v/>
      </c>
      <c r="N61" s="2" t="str">
        <f t="shared" si="0"/>
        <v/>
      </c>
      <c r="O61" s="2" t="str">
        <f t="shared" si="1"/>
        <v/>
      </c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 t="str">
        <f>IF(A62="","",COUNTIF(Страницы_и_экраны!$E$5:$E$304,A62))</f>
        <v/>
      </c>
      <c r="N62" s="2" t="str">
        <f t="shared" si="0"/>
        <v/>
      </c>
      <c r="O62" s="2" t="str">
        <f t="shared" si="1"/>
        <v/>
      </c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 t="str">
        <f>IF(A63="","",COUNTIF(Страницы_и_экраны!$E$5:$E$304,A63))</f>
        <v/>
      </c>
      <c r="N63" s="2" t="str">
        <f t="shared" si="0"/>
        <v/>
      </c>
      <c r="O63" s="2" t="str">
        <f t="shared" si="1"/>
        <v/>
      </c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 t="str">
        <f>IF(A64="","",COUNTIF(Страницы_и_экраны!$E$5:$E$304,A64))</f>
        <v/>
      </c>
      <c r="N64" s="2" t="str">
        <f t="shared" si="0"/>
        <v/>
      </c>
      <c r="O64" s="2" t="str">
        <f t="shared" si="1"/>
        <v/>
      </c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 t="str">
        <f>IF(A65="","",COUNTIF(Страницы_и_экраны!$E$5:$E$304,A65))</f>
        <v/>
      </c>
      <c r="N65" s="2" t="str">
        <f t="shared" si="0"/>
        <v/>
      </c>
      <c r="O65" s="2" t="str">
        <f t="shared" si="1"/>
        <v/>
      </c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 t="str">
        <f>IF(A66="","",COUNTIF(Страницы_и_экраны!$E$5:$E$304,A66))</f>
        <v/>
      </c>
      <c r="N66" s="2" t="str">
        <f t="shared" si="0"/>
        <v/>
      </c>
      <c r="O66" s="2" t="str">
        <f t="shared" si="1"/>
        <v/>
      </c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 t="str">
        <f>IF(A67="","",COUNTIF(Страницы_и_экраны!$E$5:$E$304,A67))</f>
        <v/>
      </c>
      <c r="N67" s="2" t="str">
        <f t="shared" si="0"/>
        <v/>
      </c>
      <c r="O67" s="2" t="str">
        <f t="shared" si="1"/>
        <v/>
      </c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 t="str">
        <f>IF(A68="","",COUNTIF(Страницы_и_экраны!$E$5:$E$304,A68))</f>
        <v/>
      </c>
      <c r="N68" s="2" t="str">
        <f t="shared" si="0"/>
        <v/>
      </c>
      <c r="O68" s="2" t="str">
        <f t="shared" si="1"/>
        <v/>
      </c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 t="str">
        <f>IF(A69="","",COUNTIF(Страницы_и_экраны!$E$5:$E$304,A69))</f>
        <v/>
      </c>
      <c r="N69" s="2" t="str">
        <f t="shared" ref="N69:N132" si="2">IF(A69="","",IF(M69&gt;0,"Покрыт","Нет страницы/экрана"))</f>
        <v/>
      </c>
      <c r="O69" s="2" t="str">
        <f t="shared" ref="O69:O132" si="3">IF(A69="","",MAX(0,MIN(100,ROUND(((J69*0.45)+(K69*0.35)-(L69*0.2))*20,0))))</f>
        <v/>
      </c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 t="str">
        <f>IF(A70="","",COUNTIF(Страницы_и_экраны!$E$5:$E$304,A70))</f>
        <v/>
      </c>
      <c r="N70" s="2" t="str">
        <f t="shared" si="2"/>
        <v/>
      </c>
      <c r="O70" s="2" t="str">
        <f t="shared" si="3"/>
        <v/>
      </c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 t="str">
        <f>IF(A71="","",COUNTIF(Страницы_и_экраны!$E$5:$E$304,A71))</f>
        <v/>
      </c>
      <c r="N71" s="2" t="str">
        <f t="shared" si="2"/>
        <v/>
      </c>
      <c r="O71" s="2" t="str">
        <f t="shared" si="3"/>
        <v/>
      </c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 t="str">
        <f>IF(A72="","",COUNTIF(Страницы_и_экраны!$E$5:$E$304,A72))</f>
        <v/>
      </c>
      <c r="N72" s="2" t="str">
        <f t="shared" si="2"/>
        <v/>
      </c>
      <c r="O72" s="2" t="str">
        <f t="shared" si="3"/>
        <v/>
      </c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 t="str">
        <f>IF(A73="","",COUNTIF(Страницы_и_экраны!$E$5:$E$304,A73))</f>
        <v/>
      </c>
      <c r="N73" s="2" t="str">
        <f t="shared" si="2"/>
        <v/>
      </c>
      <c r="O73" s="2" t="str">
        <f t="shared" si="3"/>
        <v/>
      </c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 t="str">
        <f>IF(A74="","",COUNTIF(Страницы_и_экраны!$E$5:$E$304,A74))</f>
        <v/>
      </c>
      <c r="N74" s="2" t="str">
        <f t="shared" si="2"/>
        <v/>
      </c>
      <c r="O74" s="2" t="str">
        <f t="shared" si="3"/>
        <v/>
      </c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 t="str">
        <f>IF(A75="","",COUNTIF(Страницы_и_экраны!$E$5:$E$304,A75))</f>
        <v/>
      </c>
      <c r="N75" s="2" t="str">
        <f t="shared" si="2"/>
        <v/>
      </c>
      <c r="O75" s="2" t="str">
        <f t="shared" si="3"/>
        <v/>
      </c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 t="str">
        <f>IF(A76="","",COUNTIF(Страницы_и_экраны!$E$5:$E$304,A76))</f>
        <v/>
      </c>
      <c r="N76" s="2" t="str">
        <f t="shared" si="2"/>
        <v/>
      </c>
      <c r="O76" s="2" t="str">
        <f t="shared" si="3"/>
        <v/>
      </c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 t="str">
        <f>IF(A77="","",COUNTIF(Страницы_и_экраны!$E$5:$E$304,A77))</f>
        <v/>
      </c>
      <c r="N77" s="2" t="str">
        <f t="shared" si="2"/>
        <v/>
      </c>
      <c r="O77" s="2" t="str">
        <f t="shared" si="3"/>
        <v/>
      </c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 t="str">
        <f>IF(A78="","",COUNTIF(Страницы_и_экраны!$E$5:$E$304,A78))</f>
        <v/>
      </c>
      <c r="N78" s="2" t="str">
        <f t="shared" si="2"/>
        <v/>
      </c>
      <c r="O78" s="2" t="str">
        <f t="shared" si="3"/>
        <v/>
      </c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 t="str">
        <f>IF(A79="","",COUNTIF(Страницы_и_экраны!$E$5:$E$304,A79))</f>
        <v/>
      </c>
      <c r="N79" s="2" t="str">
        <f t="shared" si="2"/>
        <v/>
      </c>
      <c r="O79" s="2" t="str">
        <f t="shared" si="3"/>
        <v/>
      </c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 t="str">
        <f>IF(A80="","",COUNTIF(Страницы_и_экраны!$E$5:$E$304,A80))</f>
        <v/>
      </c>
      <c r="N80" s="2" t="str">
        <f t="shared" si="2"/>
        <v/>
      </c>
      <c r="O80" s="2" t="str">
        <f t="shared" si="3"/>
        <v/>
      </c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 t="str">
        <f>IF(A81="","",COUNTIF(Страницы_и_экраны!$E$5:$E$304,A81))</f>
        <v/>
      </c>
      <c r="N81" s="2" t="str">
        <f t="shared" si="2"/>
        <v/>
      </c>
      <c r="O81" s="2" t="str">
        <f t="shared" si="3"/>
        <v/>
      </c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 t="str">
        <f>IF(A82="","",COUNTIF(Страницы_и_экраны!$E$5:$E$304,A82))</f>
        <v/>
      </c>
      <c r="N82" s="2" t="str">
        <f t="shared" si="2"/>
        <v/>
      </c>
      <c r="O82" s="2" t="str">
        <f t="shared" si="3"/>
        <v/>
      </c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 t="str">
        <f>IF(A83="","",COUNTIF(Страницы_и_экраны!$E$5:$E$304,A83))</f>
        <v/>
      </c>
      <c r="N83" s="2" t="str">
        <f t="shared" si="2"/>
        <v/>
      </c>
      <c r="O83" s="2" t="str">
        <f t="shared" si="3"/>
        <v/>
      </c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 t="str">
        <f>IF(A84="","",COUNTIF(Страницы_и_экраны!$E$5:$E$304,A84))</f>
        <v/>
      </c>
      <c r="N84" s="2" t="str">
        <f t="shared" si="2"/>
        <v/>
      </c>
      <c r="O84" s="2" t="str">
        <f t="shared" si="3"/>
        <v/>
      </c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 t="str">
        <f>IF(A85="","",COUNTIF(Страницы_и_экраны!$E$5:$E$304,A85))</f>
        <v/>
      </c>
      <c r="N85" s="2" t="str">
        <f t="shared" si="2"/>
        <v/>
      </c>
      <c r="O85" s="2" t="str">
        <f t="shared" si="3"/>
        <v/>
      </c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 t="str">
        <f>IF(A86="","",COUNTIF(Страницы_и_экраны!$E$5:$E$304,A86))</f>
        <v/>
      </c>
      <c r="N86" s="2" t="str">
        <f t="shared" si="2"/>
        <v/>
      </c>
      <c r="O86" s="2" t="str">
        <f t="shared" si="3"/>
        <v/>
      </c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 t="str">
        <f>IF(A87="","",COUNTIF(Страницы_и_экраны!$E$5:$E$304,A87))</f>
        <v/>
      </c>
      <c r="N87" s="2" t="str">
        <f t="shared" si="2"/>
        <v/>
      </c>
      <c r="O87" s="2" t="str">
        <f t="shared" si="3"/>
        <v/>
      </c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 t="str">
        <f>IF(A88="","",COUNTIF(Страницы_и_экраны!$E$5:$E$304,A88))</f>
        <v/>
      </c>
      <c r="N88" s="2" t="str">
        <f t="shared" si="2"/>
        <v/>
      </c>
      <c r="O88" s="2" t="str">
        <f t="shared" si="3"/>
        <v/>
      </c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 t="str">
        <f>IF(A89="","",COUNTIF(Страницы_и_экраны!$E$5:$E$304,A89))</f>
        <v/>
      </c>
      <c r="N89" s="2" t="str">
        <f t="shared" si="2"/>
        <v/>
      </c>
      <c r="O89" s="2" t="str">
        <f t="shared" si="3"/>
        <v/>
      </c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 t="str">
        <f>IF(A90="","",COUNTIF(Страницы_и_экраны!$E$5:$E$304,A90))</f>
        <v/>
      </c>
      <c r="N90" s="2" t="str">
        <f t="shared" si="2"/>
        <v/>
      </c>
      <c r="O90" s="2" t="str">
        <f t="shared" si="3"/>
        <v/>
      </c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 t="str">
        <f>IF(A91="","",COUNTIF(Страницы_и_экраны!$E$5:$E$304,A91))</f>
        <v/>
      </c>
      <c r="N91" s="2" t="str">
        <f t="shared" si="2"/>
        <v/>
      </c>
      <c r="O91" s="2" t="str">
        <f t="shared" si="3"/>
        <v/>
      </c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 t="str">
        <f>IF(A92="","",COUNTIF(Страницы_и_экраны!$E$5:$E$304,A92))</f>
        <v/>
      </c>
      <c r="N92" s="2" t="str">
        <f t="shared" si="2"/>
        <v/>
      </c>
      <c r="O92" s="2" t="str">
        <f t="shared" si="3"/>
        <v/>
      </c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 t="str">
        <f>IF(A93="","",COUNTIF(Страницы_и_экраны!$E$5:$E$304,A93))</f>
        <v/>
      </c>
      <c r="N93" s="2" t="str">
        <f t="shared" si="2"/>
        <v/>
      </c>
      <c r="O93" s="2" t="str">
        <f t="shared" si="3"/>
        <v/>
      </c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 t="str">
        <f>IF(A94="","",COUNTIF(Страницы_и_экраны!$E$5:$E$304,A94))</f>
        <v/>
      </c>
      <c r="N94" s="2" t="str">
        <f t="shared" si="2"/>
        <v/>
      </c>
      <c r="O94" s="2" t="str">
        <f t="shared" si="3"/>
        <v/>
      </c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 t="str">
        <f>IF(A95="","",COUNTIF(Страницы_и_экраны!$E$5:$E$304,A95))</f>
        <v/>
      </c>
      <c r="N95" s="2" t="str">
        <f t="shared" si="2"/>
        <v/>
      </c>
      <c r="O95" s="2" t="str">
        <f t="shared" si="3"/>
        <v/>
      </c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 t="str">
        <f>IF(A96="","",COUNTIF(Страницы_и_экраны!$E$5:$E$304,A96))</f>
        <v/>
      </c>
      <c r="N96" s="2" t="str">
        <f t="shared" si="2"/>
        <v/>
      </c>
      <c r="O96" s="2" t="str">
        <f t="shared" si="3"/>
        <v/>
      </c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 t="str">
        <f>IF(A97="","",COUNTIF(Страницы_и_экраны!$E$5:$E$304,A97))</f>
        <v/>
      </c>
      <c r="N97" s="2" t="str">
        <f t="shared" si="2"/>
        <v/>
      </c>
      <c r="O97" s="2" t="str">
        <f t="shared" si="3"/>
        <v/>
      </c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 t="str">
        <f>IF(A98="","",COUNTIF(Страницы_и_экраны!$E$5:$E$304,A98))</f>
        <v/>
      </c>
      <c r="N98" s="2" t="str">
        <f t="shared" si="2"/>
        <v/>
      </c>
      <c r="O98" s="2" t="str">
        <f t="shared" si="3"/>
        <v/>
      </c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 t="str">
        <f>IF(A99="","",COUNTIF(Страницы_и_экраны!$E$5:$E$304,A99))</f>
        <v/>
      </c>
      <c r="N99" s="2" t="str">
        <f t="shared" si="2"/>
        <v/>
      </c>
      <c r="O99" s="2" t="str">
        <f t="shared" si="3"/>
        <v/>
      </c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 t="str">
        <f>IF(A100="","",COUNTIF(Страницы_и_экраны!$E$5:$E$304,A100))</f>
        <v/>
      </c>
      <c r="N100" s="2" t="str">
        <f t="shared" si="2"/>
        <v/>
      </c>
      <c r="O100" s="2" t="str">
        <f t="shared" si="3"/>
        <v/>
      </c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 t="str">
        <f>IF(A101="","",COUNTIF(Страницы_и_экраны!$E$5:$E$304,A101))</f>
        <v/>
      </c>
      <c r="N101" s="2" t="str">
        <f t="shared" si="2"/>
        <v/>
      </c>
      <c r="O101" s="2" t="str">
        <f t="shared" si="3"/>
        <v/>
      </c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 t="str">
        <f>IF(A102="","",COUNTIF(Страницы_и_экраны!$E$5:$E$304,A102))</f>
        <v/>
      </c>
      <c r="N102" s="2" t="str">
        <f t="shared" si="2"/>
        <v/>
      </c>
      <c r="O102" s="2" t="str">
        <f t="shared" si="3"/>
        <v/>
      </c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 t="str">
        <f>IF(A103="","",COUNTIF(Страницы_и_экраны!$E$5:$E$304,A103))</f>
        <v/>
      </c>
      <c r="N103" s="2" t="str">
        <f t="shared" si="2"/>
        <v/>
      </c>
      <c r="O103" s="2" t="str">
        <f t="shared" si="3"/>
        <v/>
      </c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 t="str">
        <f>IF(A104="","",COUNTIF(Страницы_и_экраны!$E$5:$E$304,A104))</f>
        <v/>
      </c>
      <c r="N104" s="2" t="str">
        <f t="shared" si="2"/>
        <v/>
      </c>
      <c r="O104" s="2" t="str">
        <f t="shared" si="3"/>
        <v/>
      </c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 t="str">
        <f>IF(A105="","",COUNTIF(Страницы_и_экраны!$E$5:$E$304,A105))</f>
        <v/>
      </c>
      <c r="N105" s="2" t="str">
        <f t="shared" si="2"/>
        <v/>
      </c>
      <c r="O105" s="2" t="str">
        <f t="shared" si="3"/>
        <v/>
      </c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 t="str">
        <f>IF(A106="","",COUNTIF(Страницы_и_экраны!$E$5:$E$304,A106))</f>
        <v/>
      </c>
      <c r="N106" s="2" t="str">
        <f t="shared" si="2"/>
        <v/>
      </c>
      <c r="O106" s="2" t="str">
        <f t="shared" si="3"/>
        <v/>
      </c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 t="str">
        <f>IF(A107="","",COUNTIF(Страницы_и_экраны!$E$5:$E$304,A107))</f>
        <v/>
      </c>
      <c r="N107" s="2" t="str">
        <f t="shared" si="2"/>
        <v/>
      </c>
      <c r="O107" s="2" t="str">
        <f t="shared" si="3"/>
        <v/>
      </c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 t="str">
        <f>IF(A108="","",COUNTIF(Страницы_и_экраны!$E$5:$E$304,A108))</f>
        <v/>
      </c>
      <c r="N108" s="2" t="str">
        <f t="shared" si="2"/>
        <v/>
      </c>
      <c r="O108" s="2" t="str">
        <f t="shared" si="3"/>
        <v/>
      </c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 t="str">
        <f>IF(A109="","",COUNTIF(Страницы_и_экраны!$E$5:$E$304,A109))</f>
        <v/>
      </c>
      <c r="N109" s="2" t="str">
        <f t="shared" si="2"/>
        <v/>
      </c>
      <c r="O109" s="2" t="str">
        <f t="shared" si="3"/>
        <v/>
      </c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 t="str">
        <f>IF(A110="","",COUNTIF(Страницы_и_экраны!$E$5:$E$304,A110))</f>
        <v/>
      </c>
      <c r="N110" s="2" t="str">
        <f t="shared" si="2"/>
        <v/>
      </c>
      <c r="O110" s="2" t="str">
        <f t="shared" si="3"/>
        <v/>
      </c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 t="str">
        <f>IF(A111="","",COUNTIF(Страницы_и_экраны!$E$5:$E$304,A111))</f>
        <v/>
      </c>
      <c r="N111" s="2" t="str">
        <f t="shared" si="2"/>
        <v/>
      </c>
      <c r="O111" s="2" t="str">
        <f t="shared" si="3"/>
        <v/>
      </c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 t="str">
        <f>IF(A112="","",COUNTIF(Страницы_и_экраны!$E$5:$E$304,A112))</f>
        <v/>
      </c>
      <c r="N112" s="2" t="str">
        <f t="shared" si="2"/>
        <v/>
      </c>
      <c r="O112" s="2" t="str">
        <f t="shared" si="3"/>
        <v/>
      </c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 t="str">
        <f>IF(A113="","",COUNTIF(Страницы_и_экраны!$E$5:$E$304,A113))</f>
        <v/>
      </c>
      <c r="N113" s="2" t="str">
        <f t="shared" si="2"/>
        <v/>
      </c>
      <c r="O113" s="2" t="str">
        <f t="shared" si="3"/>
        <v/>
      </c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 t="str">
        <f>IF(A114="","",COUNTIF(Страницы_и_экраны!$E$5:$E$304,A114))</f>
        <v/>
      </c>
      <c r="N114" s="2" t="str">
        <f t="shared" si="2"/>
        <v/>
      </c>
      <c r="O114" s="2" t="str">
        <f t="shared" si="3"/>
        <v/>
      </c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 t="str">
        <f>IF(A115="","",COUNTIF(Страницы_и_экраны!$E$5:$E$304,A115))</f>
        <v/>
      </c>
      <c r="N115" s="2" t="str">
        <f t="shared" si="2"/>
        <v/>
      </c>
      <c r="O115" s="2" t="str">
        <f t="shared" si="3"/>
        <v/>
      </c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 t="str">
        <f>IF(A116="","",COUNTIF(Страницы_и_экраны!$E$5:$E$304,A116))</f>
        <v/>
      </c>
      <c r="N116" s="2" t="str">
        <f t="shared" si="2"/>
        <v/>
      </c>
      <c r="O116" s="2" t="str">
        <f t="shared" si="3"/>
        <v/>
      </c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 t="str">
        <f>IF(A117="","",COUNTIF(Страницы_и_экраны!$E$5:$E$304,A117))</f>
        <v/>
      </c>
      <c r="N117" s="2" t="str">
        <f t="shared" si="2"/>
        <v/>
      </c>
      <c r="O117" s="2" t="str">
        <f t="shared" si="3"/>
        <v/>
      </c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 t="str">
        <f>IF(A118="","",COUNTIF(Страницы_и_экраны!$E$5:$E$304,A118))</f>
        <v/>
      </c>
      <c r="N118" s="2" t="str">
        <f t="shared" si="2"/>
        <v/>
      </c>
      <c r="O118" s="2" t="str">
        <f t="shared" si="3"/>
        <v/>
      </c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 t="str">
        <f>IF(A119="","",COUNTIF(Страницы_и_экраны!$E$5:$E$304,A119))</f>
        <v/>
      </c>
      <c r="N119" s="2" t="str">
        <f t="shared" si="2"/>
        <v/>
      </c>
      <c r="O119" s="2" t="str">
        <f t="shared" si="3"/>
        <v/>
      </c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 t="str">
        <f>IF(A120="","",COUNTIF(Страницы_и_экраны!$E$5:$E$304,A120))</f>
        <v/>
      </c>
      <c r="N120" s="2" t="str">
        <f t="shared" si="2"/>
        <v/>
      </c>
      <c r="O120" s="2" t="str">
        <f t="shared" si="3"/>
        <v/>
      </c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 t="str">
        <f>IF(A121="","",COUNTIF(Страницы_и_экраны!$E$5:$E$304,A121))</f>
        <v/>
      </c>
      <c r="N121" s="2" t="str">
        <f t="shared" si="2"/>
        <v/>
      </c>
      <c r="O121" s="2" t="str">
        <f t="shared" si="3"/>
        <v/>
      </c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 t="str">
        <f>IF(A122="","",COUNTIF(Страницы_и_экраны!$E$5:$E$304,A122))</f>
        <v/>
      </c>
      <c r="N122" s="2" t="str">
        <f t="shared" si="2"/>
        <v/>
      </c>
      <c r="O122" s="2" t="str">
        <f t="shared" si="3"/>
        <v/>
      </c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 t="str">
        <f>IF(A123="","",COUNTIF(Страницы_и_экраны!$E$5:$E$304,A123))</f>
        <v/>
      </c>
      <c r="N123" s="2" t="str">
        <f t="shared" si="2"/>
        <v/>
      </c>
      <c r="O123" s="2" t="str">
        <f t="shared" si="3"/>
        <v/>
      </c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 t="str">
        <f>IF(A124="","",COUNTIF(Страницы_и_экраны!$E$5:$E$304,A124))</f>
        <v/>
      </c>
      <c r="N124" s="2" t="str">
        <f t="shared" si="2"/>
        <v/>
      </c>
      <c r="O124" s="2" t="str">
        <f t="shared" si="3"/>
        <v/>
      </c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 t="str">
        <f>IF(A125="","",COUNTIF(Страницы_и_экраны!$E$5:$E$304,A125))</f>
        <v/>
      </c>
      <c r="N125" s="2" t="str">
        <f t="shared" si="2"/>
        <v/>
      </c>
      <c r="O125" s="2" t="str">
        <f t="shared" si="3"/>
        <v/>
      </c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 t="str">
        <f>IF(A126="","",COUNTIF(Страницы_и_экраны!$E$5:$E$304,A126))</f>
        <v/>
      </c>
      <c r="N126" s="2" t="str">
        <f t="shared" si="2"/>
        <v/>
      </c>
      <c r="O126" s="2" t="str">
        <f t="shared" si="3"/>
        <v/>
      </c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 t="str">
        <f>IF(A127="","",COUNTIF(Страницы_и_экраны!$E$5:$E$304,A127))</f>
        <v/>
      </c>
      <c r="N127" s="2" t="str">
        <f t="shared" si="2"/>
        <v/>
      </c>
      <c r="O127" s="2" t="str">
        <f t="shared" si="3"/>
        <v/>
      </c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 t="str">
        <f>IF(A128="","",COUNTIF(Страницы_и_экраны!$E$5:$E$304,A128))</f>
        <v/>
      </c>
      <c r="N128" s="2" t="str">
        <f t="shared" si="2"/>
        <v/>
      </c>
      <c r="O128" s="2" t="str">
        <f t="shared" si="3"/>
        <v/>
      </c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 t="str">
        <f>IF(A129="","",COUNTIF(Страницы_и_экраны!$E$5:$E$304,A129))</f>
        <v/>
      </c>
      <c r="N129" s="2" t="str">
        <f t="shared" si="2"/>
        <v/>
      </c>
      <c r="O129" s="2" t="str">
        <f t="shared" si="3"/>
        <v/>
      </c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 t="str">
        <f>IF(A130="","",COUNTIF(Страницы_и_экраны!$E$5:$E$304,A130))</f>
        <v/>
      </c>
      <c r="N130" s="2" t="str">
        <f t="shared" si="2"/>
        <v/>
      </c>
      <c r="O130" s="2" t="str">
        <f t="shared" si="3"/>
        <v/>
      </c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 t="str">
        <f>IF(A131="","",COUNTIF(Страницы_и_экраны!$E$5:$E$304,A131))</f>
        <v/>
      </c>
      <c r="N131" s="2" t="str">
        <f t="shared" si="2"/>
        <v/>
      </c>
      <c r="O131" s="2" t="str">
        <f t="shared" si="3"/>
        <v/>
      </c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 t="str">
        <f>IF(A132="","",COUNTIF(Страницы_и_экраны!$E$5:$E$304,A132))</f>
        <v/>
      </c>
      <c r="N132" s="2" t="str">
        <f t="shared" si="2"/>
        <v/>
      </c>
      <c r="O132" s="2" t="str">
        <f t="shared" si="3"/>
        <v/>
      </c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 t="str">
        <f>IF(A133="","",COUNTIF(Страницы_и_экраны!$E$5:$E$304,A133))</f>
        <v/>
      </c>
      <c r="N133" s="2" t="str">
        <f t="shared" ref="N133:N196" si="4">IF(A133="","",IF(M133&gt;0,"Покрыт","Нет страницы/экрана"))</f>
        <v/>
      </c>
      <c r="O133" s="2" t="str">
        <f t="shared" ref="O133:O196" si="5">IF(A133="","",MAX(0,MIN(100,ROUND(((J133*0.45)+(K133*0.35)-(L133*0.2))*20,0))))</f>
        <v/>
      </c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 t="str">
        <f>IF(A134="","",COUNTIF(Страницы_и_экраны!$E$5:$E$304,A134))</f>
        <v/>
      </c>
      <c r="N134" s="2" t="str">
        <f t="shared" si="4"/>
        <v/>
      </c>
      <c r="O134" s="2" t="str">
        <f t="shared" si="5"/>
        <v/>
      </c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 t="str">
        <f>IF(A135="","",COUNTIF(Страницы_и_экраны!$E$5:$E$304,A135))</f>
        <v/>
      </c>
      <c r="N135" s="2" t="str">
        <f t="shared" si="4"/>
        <v/>
      </c>
      <c r="O135" s="2" t="str">
        <f t="shared" si="5"/>
        <v/>
      </c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 t="str">
        <f>IF(A136="","",COUNTIF(Страницы_и_экраны!$E$5:$E$304,A136))</f>
        <v/>
      </c>
      <c r="N136" s="2" t="str">
        <f t="shared" si="4"/>
        <v/>
      </c>
      <c r="O136" s="2" t="str">
        <f t="shared" si="5"/>
        <v/>
      </c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 t="str">
        <f>IF(A137="","",COUNTIF(Страницы_и_экраны!$E$5:$E$304,A137))</f>
        <v/>
      </c>
      <c r="N137" s="2" t="str">
        <f t="shared" si="4"/>
        <v/>
      </c>
      <c r="O137" s="2" t="str">
        <f t="shared" si="5"/>
        <v/>
      </c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 t="str">
        <f>IF(A138="","",COUNTIF(Страницы_и_экраны!$E$5:$E$304,A138))</f>
        <v/>
      </c>
      <c r="N138" s="2" t="str">
        <f t="shared" si="4"/>
        <v/>
      </c>
      <c r="O138" s="2" t="str">
        <f t="shared" si="5"/>
        <v/>
      </c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 t="str">
        <f>IF(A139="","",COUNTIF(Страницы_и_экраны!$E$5:$E$304,A139))</f>
        <v/>
      </c>
      <c r="N139" s="2" t="str">
        <f t="shared" si="4"/>
        <v/>
      </c>
      <c r="O139" s="2" t="str">
        <f t="shared" si="5"/>
        <v/>
      </c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 t="str">
        <f>IF(A140="","",COUNTIF(Страницы_и_экраны!$E$5:$E$304,A140))</f>
        <v/>
      </c>
      <c r="N140" s="2" t="str">
        <f t="shared" si="4"/>
        <v/>
      </c>
      <c r="O140" s="2" t="str">
        <f t="shared" si="5"/>
        <v/>
      </c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 t="str">
        <f>IF(A141="","",COUNTIF(Страницы_и_экраны!$E$5:$E$304,A141))</f>
        <v/>
      </c>
      <c r="N141" s="2" t="str">
        <f t="shared" si="4"/>
        <v/>
      </c>
      <c r="O141" s="2" t="str">
        <f t="shared" si="5"/>
        <v/>
      </c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 t="str">
        <f>IF(A142="","",COUNTIF(Страницы_и_экраны!$E$5:$E$304,A142))</f>
        <v/>
      </c>
      <c r="N142" s="2" t="str">
        <f t="shared" si="4"/>
        <v/>
      </c>
      <c r="O142" s="2" t="str">
        <f t="shared" si="5"/>
        <v/>
      </c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 t="str">
        <f>IF(A143="","",COUNTIF(Страницы_и_экраны!$E$5:$E$304,A143))</f>
        <v/>
      </c>
      <c r="N143" s="2" t="str">
        <f t="shared" si="4"/>
        <v/>
      </c>
      <c r="O143" s="2" t="str">
        <f t="shared" si="5"/>
        <v/>
      </c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 t="str">
        <f>IF(A144="","",COUNTIF(Страницы_и_экраны!$E$5:$E$304,A144))</f>
        <v/>
      </c>
      <c r="N144" s="2" t="str">
        <f t="shared" si="4"/>
        <v/>
      </c>
      <c r="O144" s="2" t="str">
        <f t="shared" si="5"/>
        <v/>
      </c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 t="str">
        <f>IF(A145="","",COUNTIF(Страницы_и_экраны!$E$5:$E$304,A145))</f>
        <v/>
      </c>
      <c r="N145" s="2" t="str">
        <f t="shared" si="4"/>
        <v/>
      </c>
      <c r="O145" s="2" t="str">
        <f t="shared" si="5"/>
        <v/>
      </c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 t="str">
        <f>IF(A146="","",COUNTIF(Страницы_и_экраны!$E$5:$E$304,A146))</f>
        <v/>
      </c>
      <c r="N146" s="2" t="str">
        <f t="shared" si="4"/>
        <v/>
      </c>
      <c r="O146" s="2" t="str">
        <f t="shared" si="5"/>
        <v/>
      </c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 t="str">
        <f>IF(A147="","",COUNTIF(Страницы_и_экраны!$E$5:$E$304,A147))</f>
        <v/>
      </c>
      <c r="N147" s="2" t="str">
        <f t="shared" si="4"/>
        <v/>
      </c>
      <c r="O147" s="2" t="str">
        <f t="shared" si="5"/>
        <v/>
      </c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 t="str">
        <f>IF(A148="","",COUNTIF(Страницы_и_экраны!$E$5:$E$304,A148))</f>
        <v/>
      </c>
      <c r="N148" s="2" t="str">
        <f t="shared" si="4"/>
        <v/>
      </c>
      <c r="O148" s="2" t="str">
        <f t="shared" si="5"/>
        <v/>
      </c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 t="str">
        <f>IF(A149="","",COUNTIF(Страницы_и_экраны!$E$5:$E$304,A149))</f>
        <v/>
      </c>
      <c r="N149" s="2" t="str">
        <f t="shared" si="4"/>
        <v/>
      </c>
      <c r="O149" s="2" t="str">
        <f t="shared" si="5"/>
        <v/>
      </c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 t="str">
        <f>IF(A150="","",COUNTIF(Страницы_и_экраны!$E$5:$E$304,A150))</f>
        <v/>
      </c>
      <c r="N150" s="2" t="str">
        <f t="shared" si="4"/>
        <v/>
      </c>
      <c r="O150" s="2" t="str">
        <f t="shared" si="5"/>
        <v/>
      </c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 t="str">
        <f>IF(A151="","",COUNTIF(Страницы_и_экраны!$E$5:$E$304,A151))</f>
        <v/>
      </c>
      <c r="N151" s="2" t="str">
        <f t="shared" si="4"/>
        <v/>
      </c>
      <c r="O151" s="2" t="str">
        <f t="shared" si="5"/>
        <v/>
      </c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 t="str">
        <f>IF(A152="","",COUNTIF(Страницы_и_экраны!$E$5:$E$304,A152))</f>
        <v/>
      </c>
      <c r="N152" s="2" t="str">
        <f t="shared" si="4"/>
        <v/>
      </c>
      <c r="O152" s="2" t="str">
        <f t="shared" si="5"/>
        <v/>
      </c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 t="str">
        <f>IF(A153="","",COUNTIF(Страницы_и_экраны!$E$5:$E$304,A153))</f>
        <v/>
      </c>
      <c r="N153" s="2" t="str">
        <f t="shared" si="4"/>
        <v/>
      </c>
      <c r="O153" s="2" t="str">
        <f t="shared" si="5"/>
        <v/>
      </c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 t="str">
        <f>IF(A154="","",COUNTIF(Страницы_и_экраны!$E$5:$E$304,A154))</f>
        <v/>
      </c>
      <c r="N154" s="2" t="str">
        <f t="shared" si="4"/>
        <v/>
      </c>
      <c r="O154" s="2" t="str">
        <f t="shared" si="5"/>
        <v/>
      </c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 t="str">
        <f>IF(A155="","",COUNTIF(Страницы_и_экраны!$E$5:$E$304,A155))</f>
        <v/>
      </c>
      <c r="N155" s="2" t="str">
        <f t="shared" si="4"/>
        <v/>
      </c>
      <c r="O155" s="2" t="str">
        <f t="shared" si="5"/>
        <v/>
      </c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 t="str">
        <f>IF(A156="","",COUNTIF(Страницы_и_экраны!$E$5:$E$304,A156))</f>
        <v/>
      </c>
      <c r="N156" s="2" t="str">
        <f t="shared" si="4"/>
        <v/>
      </c>
      <c r="O156" s="2" t="str">
        <f t="shared" si="5"/>
        <v/>
      </c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 t="str">
        <f>IF(A157="","",COUNTIF(Страницы_и_экраны!$E$5:$E$304,A157))</f>
        <v/>
      </c>
      <c r="N157" s="2" t="str">
        <f t="shared" si="4"/>
        <v/>
      </c>
      <c r="O157" s="2" t="str">
        <f t="shared" si="5"/>
        <v/>
      </c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 t="str">
        <f>IF(A158="","",COUNTIF(Страницы_и_экраны!$E$5:$E$304,A158))</f>
        <v/>
      </c>
      <c r="N158" s="2" t="str">
        <f t="shared" si="4"/>
        <v/>
      </c>
      <c r="O158" s="2" t="str">
        <f t="shared" si="5"/>
        <v/>
      </c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 t="str">
        <f>IF(A159="","",COUNTIF(Страницы_и_экраны!$E$5:$E$304,A159))</f>
        <v/>
      </c>
      <c r="N159" s="2" t="str">
        <f t="shared" si="4"/>
        <v/>
      </c>
      <c r="O159" s="2" t="str">
        <f t="shared" si="5"/>
        <v/>
      </c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 t="str">
        <f>IF(A160="","",COUNTIF(Страницы_и_экраны!$E$5:$E$304,A160))</f>
        <v/>
      </c>
      <c r="N160" s="2" t="str">
        <f t="shared" si="4"/>
        <v/>
      </c>
      <c r="O160" s="2" t="str">
        <f t="shared" si="5"/>
        <v/>
      </c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 t="str">
        <f>IF(A161="","",COUNTIF(Страницы_и_экраны!$E$5:$E$304,A161))</f>
        <v/>
      </c>
      <c r="N161" s="2" t="str">
        <f t="shared" si="4"/>
        <v/>
      </c>
      <c r="O161" s="2" t="str">
        <f t="shared" si="5"/>
        <v/>
      </c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 t="str">
        <f>IF(A162="","",COUNTIF(Страницы_и_экраны!$E$5:$E$304,A162))</f>
        <v/>
      </c>
      <c r="N162" s="2" t="str">
        <f t="shared" si="4"/>
        <v/>
      </c>
      <c r="O162" s="2" t="str">
        <f t="shared" si="5"/>
        <v/>
      </c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 t="str">
        <f>IF(A163="","",COUNTIF(Страницы_и_экраны!$E$5:$E$304,A163))</f>
        <v/>
      </c>
      <c r="N163" s="2" t="str">
        <f t="shared" si="4"/>
        <v/>
      </c>
      <c r="O163" s="2" t="str">
        <f t="shared" si="5"/>
        <v/>
      </c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 t="str">
        <f>IF(A164="","",COUNTIF(Страницы_и_экраны!$E$5:$E$304,A164))</f>
        <v/>
      </c>
      <c r="N164" s="2" t="str">
        <f t="shared" si="4"/>
        <v/>
      </c>
      <c r="O164" s="2" t="str">
        <f t="shared" si="5"/>
        <v/>
      </c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 t="str">
        <f>IF(A165="","",COUNTIF(Страницы_и_экраны!$E$5:$E$304,A165))</f>
        <v/>
      </c>
      <c r="N165" s="2" t="str">
        <f t="shared" si="4"/>
        <v/>
      </c>
      <c r="O165" s="2" t="str">
        <f t="shared" si="5"/>
        <v/>
      </c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 t="str">
        <f>IF(A166="","",COUNTIF(Страницы_и_экраны!$E$5:$E$304,A166))</f>
        <v/>
      </c>
      <c r="N166" s="2" t="str">
        <f t="shared" si="4"/>
        <v/>
      </c>
      <c r="O166" s="2" t="str">
        <f t="shared" si="5"/>
        <v/>
      </c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 t="str">
        <f>IF(A167="","",COUNTIF(Страницы_и_экраны!$E$5:$E$304,A167))</f>
        <v/>
      </c>
      <c r="N167" s="2" t="str">
        <f t="shared" si="4"/>
        <v/>
      </c>
      <c r="O167" s="2" t="str">
        <f t="shared" si="5"/>
        <v/>
      </c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 t="str">
        <f>IF(A168="","",COUNTIF(Страницы_и_экраны!$E$5:$E$304,A168))</f>
        <v/>
      </c>
      <c r="N168" s="2" t="str">
        <f t="shared" si="4"/>
        <v/>
      </c>
      <c r="O168" s="2" t="str">
        <f t="shared" si="5"/>
        <v/>
      </c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 t="str">
        <f>IF(A169="","",COUNTIF(Страницы_и_экраны!$E$5:$E$304,A169))</f>
        <v/>
      </c>
      <c r="N169" s="2" t="str">
        <f t="shared" si="4"/>
        <v/>
      </c>
      <c r="O169" s="2" t="str">
        <f t="shared" si="5"/>
        <v/>
      </c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 t="str">
        <f>IF(A170="","",COUNTIF(Страницы_и_экраны!$E$5:$E$304,A170))</f>
        <v/>
      </c>
      <c r="N170" s="2" t="str">
        <f t="shared" si="4"/>
        <v/>
      </c>
      <c r="O170" s="2" t="str">
        <f t="shared" si="5"/>
        <v/>
      </c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 t="str">
        <f>IF(A171="","",COUNTIF(Страницы_и_экраны!$E$5:$E$304,A171))</f>
        <v/>
      </c>
      <c r="N171" s="2" t="str">
        <f t="shared" si="4"/>
        <v/>
      </c>
      <c r="O171" s="2" t="str">
        <f t="shared" si="5"/>
        <v/>
      </c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 t="str">
        <f>IF(A172="","",COUNTIF(Страницы_и_экраны!$E$5:$E$304,A172))</f>
        <v/>
      </c>
      <c r="N172" s="2" t="str">
        <f t="shared" si="4"/>
        <v/>
      </c>
      <c r="O172" s="2" t="str">
        <f t="shared" si="5"/>
        <v/>
      </c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 t="str">
        <f>IF(A173="","",COUNTIF(Страницы_и_экраны!$E$5:$E$304,A173))</f>
        <v/>
      </c>
      <c r="N173" s="2" t="str">
        <f t="shared" si="4"/>
        <v/>
      </c>
      <c r="O173" s="2" t="str">
        <f t="shared" si="5"/>
        <v/>
      </c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 t="str">
        <f>IF(A174="","",COUNTIF(Страницы_и_экраны!$E$5:$E$304,A174))</f>
        <v/>
      </c>
      <c r="N174" s="2" t="str">
        <f t="shared" si="4"/>
        <v/>
      </c>
      <c r="O174" s="2" t="str">
        <f t="shared" si="5"/>
        <v/>
      </c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 t="str">
        <f>IF(A175="","",COUNTIF(Страницы_и_экраны!$E$5:$E$304,A175))</f>
        <v/>
      </c>
      <c r="N175" s="2" t="str">
        <f t="shared" si="4"/>
        <v/>
      </c>
      <c r="O175" s="2" t="str">
        <f t="shared" si="5"/>
        <v/>
      </c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 t="str">
        <f>IF(A176="","",COUNTIF(Страницы_и_экраны!$E$5:$E$304,A176))</f>
        <v/>
      </c>
      <c r="N176" s="2" t="str">
        <f t="shared" si="4"/>
        <v/>
      </c>
      <c r="O176" s="2" t="str">
        <f t="shared" si="5"/>
        <v/>
      </c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 t="str">
        <f>IF(A177="","",COUNTIF(Страницы_и_экраны!$E$5:$E$304,A177))</f>
        <v/>
      </c>
      <c r="N177" s="2" t="str">
        <f t="shared" si="4"/>
        <v/>
      </c>
      <c r="O177" s="2" t="str">
        <f t="shared" si="5"/>
        <v/>
      </c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 t="str">
        <f>IF(A178="","",COUNTIF(Страницы_и_экраны!$E$5:$E$304,A178))</f>
        <v/>
      </c>
      <c r="N178" s="2" t="str">
        <f t="shared" si="4"/>
        <v/>
      </c>
      <c r="O178" s="2" t="str">
        <f t="shared" si="5"/>
        <v/>
      </c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 t="str">
        <f>IF(A179="","",COUNTIF(Страницы_и_экраны!$E$5:$E$304,A179))</f>
        <v/>
      </c>
      <c r="N179" s="2" t="str">
        <f t="shared" si="4"/>
        <v/>
      </c>
      <c r="O179" s="2" t="str">
        <f t="shared" si="5"/>
        <v/>
      </c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 t="str">
        <f>IF(A180="","",COUNTIF(Страницы_и_экраны!$E$5:$E$304,A180))</f>
        <v/>
      </c>
      <c r="N180" s="2" t="str">
        <f t="shared" si="4"/>
        <v/>
      </c>
      <c r="O180" s="2" t="str">
        <f t="shared" si="5"/>
        <v/>
      </c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 t="str">
        <f>IF(A181="","",COUNTIF(Страницы_и_экраны!$E$5:$E$304,A181))</f>
        <v/>
      </c>
      <c r="N181" s="2" t="str">
        <f t="shared" si="4"/>
        <v/>
      </c>
      <c r="O181" s="2" t="str">
        <f t="shared" si="5"/>
        <v/>
      </c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 t="str">
        <f>IF(A182="","",COUNTIF(Страницы_и_экраны!$E$5:$E$304,A182))</f>
        <v/>
      </c>
      <c r="N182" s="2" t="str">
        <f t="shared" si="4"/>
        <v/>
      </c>
      <c r="O182" s="2" t="str">
        <f t="shared" si="5"/>
        <v/>
      </c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 t="str">
        <f>IF(A183="","",COUNTIF(Страницы_и_экраны!$E$5:$E$304,A183))</f>
        <v/>
      </c>
      <c r="N183" s="2" t="str">
        <f t="shared" si="4"/>
        <v/>
      </c>
      <c r="O183" s="2" t="str">
        <f t="shared" si="5"/>
        <v/>
      </c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 t="str">
        <f>IF(A184="","",COUNTIF(Страницы_и_экраны!$E$5:$E$304,A184))</f>
        <v/>
      </c>
      <c r="N184" s="2" t="str">
        <f t="shared" si="4"/>
        <v/>
      </c>
      <c r="O184" s="2" t="str">
        <f t="shared" si="5"/>
        <v/>
      </c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 t="str">
        <f>IF(A185="","",COUNTIF(Страницы_и_экраны!$E$5:$E$304,A185))</f>
        <v/>
      </c>
      <c r="N185" s="2" t="str">
        <f t="shared" si="4"/>
        <v/>
      </c>
      <c r="O185" s="2" t="str">
        <f t="shared" si="5"/>
        <v/>
      </c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 t="str">
        <f>IF(A186="","",COUNTIF(Страницы_и_экраны!$E$5:$E$304,A186))</f>
        <v/>
      </c>
      <c r="N186" s="2" t="str">
        <f t="shared" si="4"/>
        <v/>
      </c>
      <c r="O186" s="2" t="str">
        <f t="shared" si="5"/>
        <v/>
      </c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 t="str">
        <f>IF(A187="","",COUNTIF(Страницы_и_экраны!$E$5:$E$304,A187))</f>
        <v/>
      </c>
      <c r="N187" s="2" t="str">
        <f t="shared" si="4"/>
        <v/>
      </c>
      <c r="O187" s="2" t="str">
        <f t="shared" si="5"/>
        <v/>
      </c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 t="str">
        <f>IF(A188="","",COUNTIF(Страницы_и_экраны!$E$5:$E$304,A188))</f>
        <v/>
      </c>
      <c r="N188" s="2" t="str">
        <f t="shared" si="4"/>
        <v/>
      </c>
      <c r="O188" s="2" t="str">
        <f t="shared" si="5"/>
        <v/>
      </c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 t="str">
        <f>IF(A189="","",COUNTIF(Страницы_и_экраны!$E$5:$E$304,A189))</f>
        <v/>
      </c>
      <c r="N189" s="2" t="str">
        <f t="shared" si="4"/>
        <v/>
      </c>
      <c r="O189" s="2" t="str">
        <f t="shared" si="5"/>
        <v/>
      </c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 t="str">
        <f>IF(A190="","",COUNTIF(Страницы_и_экраны!$E$5:$E$304,A190))</f>
        <v/>
      </c>
      <c r="N190" s="2" t="str">
        <f t="shared" si="4"/>
        <v/>
      </c>
      <c r="O190" s="2" t="str">
        <f t="shared" si="5"/>
        <v/>
      </c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 t="str">
        <f>IF(A191="","",COUNTIF(Страницы_и_экраны!$E$5:$E$304,A191))</f>
        <v/>
      </c>
      <c r="N191" s="2" t="str">
        <f t="shared" si="4"/>
        <v/>
      </c>
      <c r="O191" s="2" t="str">
        <f t="shared" si="5"/>
        <v/>
      </c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 t="str">
        <f>IF(A192="","",COUNTIF(Страницы_и_экраны!$E$5:$E$304,A192))</f>
        <v/>
      </c>
      <c r="N192" s="2" t="str">
        <f t="shared" si="4"/>
        <v/>
      </c>
      <c r="O192" s="2" t="str">
        <f t="shared" si="5"/>
        <v/>
      </c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 t="str">
        <f>IF(A193="","",COUNTIF(Страницы_и_экраны!$E$5:$E$304,A193))</f>
        <v/>
      </c>
      <c r="N193" s="2" t="str">
        <f t="shared" si="4"/>
        <v/>
      </c>
      <c r="O193" s="2" t="str">
        <f t="shared" si="5"/>
        <v/>
      </c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 t="str">
        <f>IF(A194="","",COUNTIF(Страницы_и_экраны!$E$5:$E$304,A194))</f>
        <v/>
      </c>
      <c r="N194" s="2" t="str">
        <f t="shared" si="4"/>
        <v/>
      </c>
      <c r="O194" s="2" t="str">
        <f t="shared" si="5"/>
        <v/>
      </c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 t="str">
        <f>IF(A195="","",COUNTIF(Страницы_и_экраны!$E$5:$E$304,A195))</f>
        <v/>
      </c>
      <c r="N195" s="2" t="str">
        <f t="shared" si="4"/>
        <v/>
      </c>
      <c r="O195" s="2" t="str">
        <f t="shared" si="5"/>
        <v/>
      </c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 t="str">
        <f>IF(A196="","",COUNTIF(Страницы_и_экраны!$E$5:$E$304,A196))</f>
        <v/>
      </c>
      <c r="N196" s="2" t="str">
        <f t="shared" si="4"/>
        <v/>
      </c>
      <c r="O196" s="2" t="str">
        <f t="shared" si="5"/>
        <v/>
      </c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 t="str">
        <f>IF(A197="","",COUNTIF(Страницы_и_экраны!$E$5:$E$304,A197))</f>
        <v/>
      </c>
      <c r="N197" s="2" t="str">
        <f t="shared" ref="N197:N260" si="6">IF(A197="","",IF(M197&gt;0,"Покрыт","Нет страницы/экрана"))</f>
        <v/>
      </c>
      <c r="O197" s="2" t="str">
        <f t="shared" ref="O197:O260" si="7">IF(A197="","",MAX(0,MIN(100,ROUND(((J197*0.45)+(K197*0.35)-(L197*0.2))*20,0))))</f>
        <v/>
      </c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 t="str">
        <f>IF(A198="","",COUNTIF(Страницы_и_экраны!$E$5:$E$304,A198))</f>
        <v/>
      </c>
      <c r="N198" s="2" t="str">
        <f t="shared" si="6"/>
        <v/>
      </c>
      <c r="O198" s="2" t="str">
        <f t="shared" si="7"/>
        <v/>
      </c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 t="str">
        <f>IF(A199="","",COUNTIF(Страницы_и_экраны!$E$5:$E$304,A199))</f>
        <v/>
      </c>
      <c r="N199" s="2" t="str">
        <f t="shared" si="6"/>
        <v/>
      </c>
      <c r="O199" s="2" t="str">
        <f t="shared" si="7"/>
        <v/>
      </c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 t="str">
        <f>IF(A200="","",COUNTIF(Страницы_и_экраны!$E$5:$E$304,A200))</f>
        <v/>
      </c>
      <c r="N200" s="2" t="str">
        <f t="shared" si="6"/>
        <v/>
      </c>
      <c r="O200" s="2" t="str">
        <f t="shared" si="7"/>
        <v/>
      </c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 t="str">
        <f>IF(A201="","",COUNTIF(Страницы_и_экраны!$E$5:$E$304,A201))</f>
        <v/>
      </c>
      <c r="N201" s="2" t="str">
        <f t="shared" si="6"/>
        <v/>
      </c>
      <c r="O201" s="2" t="str">
        <f t="shared" si="7"/>
        <v/>
      </c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 t="str">
        <f>IF(A202="","",COUNTIF(Страницы_и_экраны!$E$5:$E$304,A202))</f>
        <v/>
      </c>
      <c r="N202" s="2" t="str">
        <f t="shared" si="6"/>
        <v/>
      </c>
      <c r="O202" s="2" t="str">
        <f t="shared" si="7"/>
        <v/>
      </c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 t="str">
        <f>IF(A203="","",COUNTIF(Страницы_и_экраны!$E$5:$E$304,A203))</f>
        <v/>
      </c>
      <c r="N203" s="2" t="str">
        <f t="shared" si="6"/>
        <v/>
      </c>
      <c r="O203" s="2" t="str">
        <f t="shared" si="7"/>
        <v/>
      </c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 t="str">
        <f>IF(A204="","",COUNTIF(Страницы_и_экраны!$E$5:$E$304,A204))</f>
        <v/>
      </c>
      <c r="N204" s="2" t="str">
        <f t="shared" si="6"/>
        <v/>
      </c>
      <c r="O204" s="2" t="str">
        <f t="shared" si="7"/>
        <v/>
      </c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 t="str">
        <f>IF(A205="","",COUNTIF(Страницы_и_экраны!$E$5:$E$304,A205))</f>
        <v/>
      </c>
      <c r="N205" s="2" t="str">
        <f t="shared" si="6"/>
        <v/>
      </c>
      <c r="O205" s="2" t="str">
        <f t="shared" si="7"/>
        <v/>
      </c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 t="str">
        <f>IF(A206="","",COUNTIF(Страницы_и_экраны!$E$5:$E$304,A206))</f>
        <v/>
      </c>
      <c r="N206" s="2" t="str">
        <f t="shared" si="6"/>
        <v/>
      </c>
      <c r="O206" s="2" t="str">
        <f t="shared" si="7"/>
        <v/>
      </c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 t="str">
        <f>IF(A207="","",COUNTIF(Страницы_и_экраны!$E$5:$E$304,A207))</f>
        <v/>
      </c>
      <c r="N207" s="2" t="str">
        <f t="shared" si="6"/>
        <v/>
      </c>
      <c r="O207" s="2" t="str">
        <f t="shared" si="7"/>
        <v/>
      </c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 t="str">
        <f>IF(A208="","",COUNTIF(Страницы_и_экраны!$E$5:$E$304,A208))</f>
        <v/>
      </c>
      <c r="N208" s="2" t="str">
        <f t="shared" si="6"/>
        <v/>
      </c>
      <c r="O208" s="2" t="str">
        <f t="shared" si="7"/>
        <v/>
      </c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 t="str">
        <f>IF(A209="","",COUNTIF(Страницы_и_экраны!$E$5:$E$304,A209))</f>
        <v/>
      </c>
      <c r="N209" s="2" t="str">
        <f t="shared" si="6"/>
        <v/>
      </c>
      <c r="O209" s="2" t="str">
        <f t="shared" si="7"/>
        <v/>
      </c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 t="str">
        <f>IF(A210="","",COUNTIF(Страницы_и_экраны!$E$5:$E$304,A210))</f>
        <v/>
      </c>
      <c r="N210" s="2" t="str">
        <f t="shared" si="6"/>
        <v/>
      </c>
      <c r="O210" s="2" t="str">
        <f t="shared" si="7"/>
        <v/>
      </c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 t="str">
        <f>IF(A211="","",COUNTIF(Страницы_и_экраны!$E$5:$E$304,A211))</f>
        <v/>
      </c>
      <c r="N211" s="2" t="str">
        <f t="shared" si="6"/>
        <v/>
      </c>
      <c r="O211" s="2" t="str">
        <f t="shared" si="7"/>
        <v/>
      </c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 t="str">
        <f>IF(A212="","",COUNTIF(Страницы_и_экраны!$E$5:$E$304,A212))</f>
        <v/>
      </c>
      <c r="N212" s="2" t="str">
        <f t="shared" si="6"/>
        <v/>
      </c>
      <c r="O212" s="2" t="str">
        <f t="shared" si="7"/>
        <v/>
      </c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 t="str">
        <f>IF(A213="","",COUNTIF(Страницы_и_экраны!$E$5:$E$304,A213))</f>
        <v/>
      </c>
      <c r="N213" s="2" t="str">
        <f t="shared" si="6"/>
        <v/>
      </c>
      <c r="O213" s="2" t="str">
        <f t="shared" si="7"/>
        <v/>
      </c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 t="str">
        <f>IF(A214="","",COUNTIF(Страницы_и_экраны!$E$5:$E$304,A214))</f>
        <v/>
      </c>
      <c r="N214" s="2" t="str">
        <f t="shared" si="6"/>
        <v/>
      </c>
      <c r="O214" s="2" t="str">
        <f t="shared" si="7"/>
        <v/>
      </c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 t="str">
        <f>IF(A215="","",COUNTIF(Страницы_и_экраны!$E$5:$E$304,A215))</f>
        <v/>
      </c>
      <c r="N215" s="2" t="str">
        <f t="shared" si="6"/>
        <v/>
      </c>
      <c r="O215" s="2" t="str">
        <f t="shared" si="7"/>
        <v/>
      </c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 t="str">
        <f>IF(A216="","",COUNTIF(Страницы_и_экраны!$E$5:$E$304,A216))</f>
        <v/>
      </c>
      <c r="N216" s="2" t="str">
        <f t="shared" si="6"/>
        <v/>
      </c>
      <c r="O216" s="2" t="str">
        <f t="shared" si="7"/>
        <v/>
      </c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 t="str">
        <f>IF(A217="","",COUNTIF(Страницы_и_экраны!$E$5:$E$304,A217))</f>
        <v/>
      </c>
      <c r="N217" s="2" t="str">
        <f t="shared" si="6"/>
        <v/>
      </c>
      <c r="O217" s="2" t="str">
        <f t="shared" si="7"/>
        <v/>
      </c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 t="str">
        <f>IF(A218="","",COUNTIF(Страницы_и_экраны!$E$5:$E$304,A218))</f>
        <v/>
      </c>
      <c r="N218" s="2" t="str">
        <f t="shared" si="6"/>
        <v/>
      </c>
      <c r="O218" s="2" t="str">
        <f t="shared" si="7"/>
        <v/>
      </c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 t="str">
        <f>IF(A219="","",COUNTIF(Страницы_и_экраны!$E$5:$E$304,A219))</f>
        <v/>
      </c>
      <c r="N219" s="2" t="str">
        <f t="shared" si="6"/>
        <v/>
      </c>
      <c r="O219" s="2" t="str">
        <f t="shared" si="7"/>
        <v/>
      </c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 t="str">
        <f>IF(A220="","",COUNTIF(Страницы_и_экраны!$E$5:$E$304,A220))</f>
        <v/>
      </c>
      <c r="N220" s="2" t="str">
        <f t="shared" si="6"/>
        <v/>
      </c>
      <c r="O220" s="2" t="str">
        <f t="shared" si="7"/>
        <v/>
      </c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 t="str">
        <f>IF(A221="","",COUNTIF(Страницы_и_экраны!$E$5:$E$304,A221))</f>
        <v/>
      </c>
      <c r="N221" s="2" t="str">
        <f t="shared" si="6"/>
        <v/>
      </c>
      <c r="O221" s="2" t="str">
        <f t="shared" si="7"/>
        <v/>
      </c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 t="str">
        <f>IF(A222="","",COUNTIF(Страницы_и_экраны!$E$5:$E$304,A222))</f>
        <v/>
      </c>
      <c r="N222" s="2" t="str">
        <f t="shared" si="6"/>
        <v/>
      </c>
      <c r="O222" s="2" t="str">
        <f t="shared" si="7"/>
        <v/>
      </c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 t="str">
        <f>IF(A223="","",COUNTIF(Страницы_и_экраны!$E$5:$E$304,A223))</f>
        <v/>
      </c>
      <c r="N223" s="2" t="str">
        <f t="shared" si="6"/>
        <v/>
      </c>
      <c r="O223" s="2" t="str">
        <f t="shared" si="7"/>
        <v/>
      </c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 t="str">
        <f>IF(A224="","",COUNTIF(Страницы_и_экраны!$E$5:$E$304,A224))</f>
        <v/>
      </c>
      <c r="N224" s="2" t="str">
        <f t="shared" si="6"/>
        <v/>
      </c>
      <c r="O224" s="2" t="str">
        <f t="shared" si="7"/>
        <v/>
      </c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 t="str">
        <f>IF(A225="","",COUNTIF(Страницы_и_экраны!$E$5:$E$304,A225))</f>
        <v/>
      </c>
      <c r="N225" s="2" t="str">
        <f t="shared" si="6"/>
        <v/>
      </c>
      <c r="O225" s="2" t="str">
        <f t="shared" si="7"/>
        <v/>
      </c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 t="str">
        <f>IF(A226="","",COUNTIF(Страницы_и_экраны!$E$5:$E$304,A226))</f>
        <v/>
      </c>
      <c r="N226" s="2" t="str">
        <f t="shared" si="6"/>
        <v/>
      </c>
      <c r="O226" s="2" t="str">
        <f t="shared" si="7"/>
        <v/>
      </c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 t="str">
        <f>IF(A227="","",COUNTIF(Страницы_и_экраны!$E$5:$E$304,A227))</f>
        <v/>
      </c>
      <c r="N227" s="2" t="str">
        <f t="shared" si="6"/>
        <v/>
      </c>
      <c r="O227" s="2" t="str">
        <f t="shared" si="7"/>
        <v/>
      </c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 t="str">
        <f>IF(A228="","",COUNTIF(Страницы_и_экраны!$E$5:$E$304,A228))</f>
        <v/>
      </c>
      <c r="N228" s="2" t="str">
        <f t="shared" si="6"/>
        <v/>
      </c>
      <c r="O228" s="2" t="str">
        <f t="shared" si="7"/>
        <v/>
      </c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 t="str">
        <f>IF(A229="","",COUNTIF(Страницы_и_экраны!$E$5:$E$304,A229))</f>
        <v/>
      </c>
      <c r="N229" s="2" t="str">
        <f t="shared" si="6"/>
        <v/>
      </c>
      <c r="O229" s="2" t="str">
        <f t="shared" si="7"/>
        <v/>
      </c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 t="str">
        <f>IF(A230="","",COUNTIF(Страницы_и_экраны!$E$5:$E$304,A230))</f>
        <v/>
      </c>
      <c r="N230" s="2" t="str">
        <f t="shared" si="6"/>
        <v/>
      </c>
      <c r="O230" s="2" t="str">
        <f t="shared" si="7"/>
        <v/>
      </c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 t="str">
        <f>IF(A231="","",COUNTIF(Страницы_и_экраны!$E$5:$E$304,A231))</f>
        <v/>
      </c>
      <c r="N231" s="2" t="str">
        <f t="shared" si="6"/>
        <v/>
      </c>
      <c r="O231" s="2" t="str">
        <f t="shared" si="7"/>
        <v/>
      </c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 t="str">
        <f>IF(A232="","",COUNTIF(Страницы_и_экраны!$E$5:$E$304,A232))</f>
        <v/>
      </c>
      <c r="N232" s="2" t="str">
        <f t="shared" si="6"/>
        <v/>
      </c>
      <c r="O232" s="2" t="str">
        <f t="shared" si="7"/>
        <v/>
      </c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 t="str">
        <f>IF(A233="","",COUNTIF(Страницы_и_экраны!$E$5:$E$304,A233))</f>
        <v/>
      </c>
      <c r="N233" s="2" t="str">
        <f t="shared" si="6"/>
        <v/>
      </c>
      <c r="O233" s="2" t="str">
        <f t="shared" si="7"/>
        <v/>
      </c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 t="str">
        <f>IF(A234="","",COUNTIF(Страницы_и_экраны!$E$5:$E$304,A234))</f>
        <v/>
      </c>
      <c r="N234" s="2" t="str">
        <f t="shared" si="6"/>
        <v/>
      </c>
      <c r="O234" s="2" t="str">
        <f t="shared" si="7"/>
        <v/>
      </c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 t="str">
        <f>IF(A235="","",COUNTIF(Страницы_и_экраны!$E$5:$E$304,A235))</f>
        <v/>
      </c>
      <c r="N235" s="2" t="str">
        <f t="shared" si="6"/>
        <v/>
      </c>
      <c r="O235" s="2" t="str">
        <f t="shared" si="7"/>
        <v/>
      </c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 t="str">
        <f>IF(A236="","",COUNTIF(Страницы_и_экраны!$E$5:$E$304,A236))</f>
        <v/>
      </c>
      <c r="N236" s="2" t="str">
        <f t="shared" si="6"/>
        <v/>
      </c>
      <c r="O236" s="2" t="str">
        <f t="shared" si="7"/>
        <v/>
      </c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 t="str">
        <f>IF(A237="","",COUNTIF(Страницы_и_экраны!$E$5:$E$304,A237))</f>
        <v/>
      </c>
      <c r="N237" s="2" t="str">
        <f t="shared" si="6"/>
        <v/>
      </c>
      <c r="O237" s="2" t="str">
        <f t="shared" si="7"/>
        <v/>
      </c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 t="str">
        <f>IF(A238="","",COUNTIF(Страницы_и_экраны!$E$5:$E$304,A238))</f>
        <v/>
      </c>
      <c r="N238" s="2" t="str">
        <f t="shared" si="6"/>
        <v/>
      </c>
      <c r="O238" s="2" t="str">
        <f t="shared" si="7"/>
        <v/>
      </c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 t="str">
        <f>IF(A239="","",COUNTIF(Страницы_и_экраны!$E$5:$E$304,A239))</f>
        <v/>
      </c>
      <c r="N239" s="2" t="str">
        <f t="shared" si="6"/>
        <v/>
      </c>
      <c r="O239" s="2" t="str">
        <f t="shared" si="7"/>
        <v/>
      </c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 t="str">
        <f>IF(A240="","",COUNTIF(Страницы_и_экраны!$E$5:$E$304,A240))</f>
        <v/>
      </c>
      <c r="N240" s="2" t="str">
        <f t="shared" si="6"/>
        <v/>
      </c>
      <c r="O240" s="2" t="str">
        <f t="shared" si="7"/>
        <v/>
      </c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 t="str">
        <f>IF(A241="","",COUNTIF(Страницы_и_экраны!$E$5:$E$304,A241))</f>
        <v/>
      </c>
      <c r="N241" s="2" t="str">
        <f t="shared" si="6"/>
        <v/>
      </c>
      <c r="O241" s="2" t="str">
        <f t="shared" si="7"/>
        <v/>
      </c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 t="str">
        <f>IF(A242="","",COUNTIF(Страницы_и_экраны!$E$5:$E$304,A242))</f>
        <v/>
      </c>
      <c r="N242" s="2" t="str">
        <f t="shared" si="6"/>
        <v/>
      </c>
      <c r="O242" s="2" t="str">
        <f t="shared" si="7"/>
        <v/>
      </c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 t="str">
        <f>IF(A243="","",COUNTIF(Страницы_и_экраны!$E$5:$E$304,A243))</f>
        <v/>
      </c>
      <c r="N243" s="2" t="str">
        <f t="shared" si="6"/>
        <v/>
      </c>
      <c r="O243" s="2" t="str">
        <f t="shared" si="7"/>
        <v/>
      </c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 t="str">
        <f>IF(A244="","",COUNTIF(Страницы_и_экраны!$E$5:$E$304,A244))</f>
        <v/>
      </c>
      <c r="N244" s="2" t="str">
        <f t="shared" si="6"/>
        <v/>
      </c>
      <c r="O244" s="2" t="str">
        <f t="shared" si="7"/>
        <v/>
      </c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 t="str">
        <f>IF(A245="","",COUNTIF(Страницы_и_экраны!$E$5:$E$304,A245))</f>
        <v/>
      </c>
      <c r="N245" s="2" t="str">
        <f t="shared" si="6"/>
        <v/>
      </c>
      <c r="O245" s="2" t="str">
        <f t="shared" si="7"/>
        <v/>
      </c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 t="str">
        <f>IF(A246="","",COUNTIF(Страницы_и_экраны!$E$5:$E$304,A246))</f>
        <v/>
      </c>
      <c r="N246" s="2" t="str">
        <f t="shared" si="6"/>
        <v/>
      </c>
      <c r="O246" s="2" t="str">
        <f t="shared" si="7"/>
        <v/>
      </c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 t="str">
        <f>IF(A247="","",COUNTIF(Страницы_и_экраны!$E$5:$E$304,A247))</f>
        <v/>
      </c>
      <c r="N247" s="2" t="str">
        <f t="shared" si="6"/>
        <v/>
      </c>
      <c r="O247" s="2" t="str">
        <f t="shared" si="7"/>
        <v/>
      </c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 t="str">
        <f>IF(A248="","",COUNTIF(Страницы_и_экраны!$E$5:$E$304,A248))</f>
        <v/>
      </c>
      <c r="N248" s="2" t="str">
        <f t="shared" si="6"/>
        <v/>
      </c>
      <c r="O248" s="2" t="str">
        <f t="shared" si="7"/>
        <v/>
      </c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 t="str">
        <f>IF(A249="","",COUNTIF(Страницы_и_экраны!$E$5:$E$304,A249))</f>
        <v/>
      </c>
      <c r="N249" s="2" t="str">
        <f t="shared" si="6"/>
        <v/>
      </c>
      <c r="O249" s="2" t="str">
        <f t="shared" si="7"/>
        <v/>
      </c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 t="str">
        <f>IF(A250="","",COUNTIF(Страницы_и_экраны!$E$5:$E$304,A250))</f>
        <v/>
      </c>
      <c r="N250" s="2" t="str">
        <f t="shared" si="6"/>
        <v/>
      </c>
      <c r="O250" s="2" t="str">
        <f t="shared" si="7"/>
        <v/>
      </c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 t="str">
        <f>IF(A251="","",COUNTIF(Страницы_и_экраны!$E$5:$E$304,A251))</f>
        <v/>
      </c>
      <c r="N251" s="2" t="str">
        <f t="shared" si="6"/>
        <v/>
      </c>
      <c r="O251" s="2" t="str">
        <f t="shared" si="7"/>
        <v/>
      </c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 t="str">
        <f>IF(A252="","",COUNTIF(Страницы_и_экраны!$E$5:$E$304,A252))</f>
        <v/>
      </c>
      <c r="N252" s="2" t="str">
        <f t="shared" si="6"/>
        <v/>
      </c>
      <c r="O252" s="2" t="str">
        <f t="shared" si="7"/>
        <v/>
      </c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 t="str">
        <f>IF(A253="","",COUNTIF(Страницы_и_экраны!$E$5:$E$304,A253))</f>
        <v/>
      </c>
      <c r="N253" s="2" t="str">
        <f t="shared" si="6"/>
        <v/>
      </c>
      <c r="O253" s="2" t="str">
        <f t="shared" si="7"/>
        <v/>
      </c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 t="str">
        <f>IF(A254="","",COUNTIF(Страницы_и_экраны!$E$5:$E$304,A254))</f>
        <v/>
      </c>
      <c r="N254" s="2" t="str">
        <f t="shared" si="6"/>
        <v/>
      </c>
      <c r="O254" s="2" t="str">
        <f t="shared" si="7"/>
        <v/>
      </c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 t="str">
        <f>IF(A255="","",COUNTIF(Страницы_и_экраны!$E$5:$E$304,A255))</f>
        <v/>
      </c>
      <c r="N255" s="2" t="str">
        <f t="shared" si="6"/>
        <v/>
      </c>
      <c r="O255" s="2" t="str">
        <f t="shared" si="7"/>
        <v/>
      </c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 t="str">
        <f>IF(A256="","",COUNTIF(Страницы_и_экраны!$E$5:$E$304,A256))</f>
        <v/>
      </c>
      <c r="N256" s="2" t="str">
        <f t="shared" si="6"/>
        <v/>
      </c>
      <c r="O256" s="2" t="str">
        <f t="shared" si="7"/>
        <v/>
      </c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 t="str">
        <f>IF(A257="","",COUNTIF(Страницы_и_экраны!$E$5:$E$304,A257))</f>
        <v/>
      </c>
      <c r="N257" s="2" t="str">
        <f t="shared" si="6"/>
        <v/>
      </c>
      <c r="O257" s="2" t="str">
        <f t="shared" si="7"/>
        <v/>
      </c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 t="str">
        <f>IF(A258="","",COUNTIF(Страницы_и_экраны!$E$5:$E$304,A258))</f>
        <v/>
      </c>
      <c r="N258" s="2" t="str">
        <f t="shared" si="6"/>
        <v/>
      </c>
      <c r="O258" s="2" t="str">
        <f t="shared" si="7"/>
        <v/>
      </c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 t="str">
        <f>IF(A259="","",COUNTIF(Страницы_и_экраны!$E$5:$E$304,A259))</f>
        <v/>
      </c>
      <c r="N259" s="2" t="str">
        <f t="shared" si="6"/>
        <v/>
      </c>
      <c r="O259" s="2" t="str">
        <f t="shared" si="7"/>
        <v/>
      </c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 t="str">
        <f>IF(A260="","",COUNTIF(Страницы_и_экраны!$E$5:$E$304,A260))</f>
        <v/>
      </c>
      <c r="N260" s="2" t="str">
        <f t="shared" si="6"/>
        <v/>
      </c>
      <c r="O260" s="2" t="str">
        <f t="shared" si="7"/>
        <v/>
      </c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 t="str">
        <f>IF(A261="","",COUNTIF(Страницы_и_экраны!$E$5:$E$304,A261))</f>
        <v/>
      </c>
      <c r="N261" s="2" t="str">
        <f t="shared" ref="N261:N324" si="8">IF(A261="","",IF(M261&gt;0,"Покрыт","Нет страницы/экрана"))</f>
        <v/>
      </c>
      <c r="O261" s="2" t="str">
        <f t="shared" ref="O261:O304" si="9">IF(A261="","",MAX(0,MIN(100,ROUND(((J261*0.45)+(K261*0.35)-(L261*0.2))*20,0))))</f>
        <v/>
      </c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 t="str">
        <f>IF(A262="","",COUNTIF(Страницы_и_экраны!$E$5:$E$304,A262))</f>
        <v/>
      </c>
      <c r="N262" s="2" t="str">
        <f t="shared" si="8"/>
        <v/>
      </c>
      <c r="O262" s="2" t="str">
        <f t="shared" si="9"/>
        <v/>
      </c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 t="str">
        <f>IF(A263="","",COUNTIF(Страницы_и_экраны!$E$5:$E$304,A263))</f>
        <v/>
      </c>
      <c r="N263" s="2" t="str">
        <f t="shared" si="8"/>
        <v/>
      </c>
      <c r="O263" s="2" t="str">
        <f t="shared" si="9"/>
        <v/>
      </c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 t="str">
        <f>IF(A264="","",COUNTIF(Страницы_и_экраны!$E$5:$E$304,A264))</f>
        <v/>
      </c>
      <c r="N264" s="2" t="str">
        <f t="shared" si="8"/>
        <v/>
      </c>
      <c r="O264" s="2" t="str">
        <f t="shared" si="9"/>
        <v/>
      </c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 t="str">
        <f>IF(A265="","",COUNTIF(Страницы_и_экраны!$E$5:$E$304,A265))</f>
        <v/>
      </c>
      <c r="N265" s="2" t="str">
        <f t="shared" si="8"/>
        <v/>
      </c>
      <c r="O265" s="2" t="str">
        <f t="shared" si="9"/>
        <v/>
      </c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 t="str">
        <f>IF(A266="","",COUNTIF(Страницы_и_экраны!$E$5:$E$304,A266))</f>
        <v/>
      </c>
      <c r="N266" s="2" t="str">
        <f t="shared" si="8"/>
        <v/>
      </c>
      <c r="O266" s="2" t="str">
        <f t="shared" si="9"/>
        <v/>
      </c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 t="str">
        <f>IF(A267="","",COUNTIF(Страницы_и_экраны!$E$5:$E$304,A267))</f>
        <v/>
      </c>
      <c r="N267" s="2" t="str">
        <f t="shared" si="8"/>
        <v/>
      </c>
      <c r="O267" s="2" t="str">
        <f t="shared" si="9"/>
        <v/>
      </c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 t="str">
        <f>IF(A268="","",COUNTIF(Страницы_и_экраны!$E$5:$E$304,A268))</f>
        <v/>
      </c>
      <c r="N268" s="2" t="str">
        <f t="shared" si="8"/>
        <v/>
      </c>
      <c r="O268" s="2" t="str">
        <f t="shared" si="9"/>
        <v/>
      </c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 t="str">
        <f>IF(A269="","",COUNTIF(Страницы_и_экраны!$E$5:$E$304,A269))</f>
        <v/>
      </c>
      <c r="N269" s="2" t="str">
        <f t="shared" si="8"/>
        <v/>
      </c>
      <c r="O269" s="2" t="str">
        <f t="shared" si="9"/>
        <v/>
      </c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 t="str">
        <f>IF(A270="","",COUNTIF(Страницы_и_экраны!$E$5:$E$304,A270))</f>
        <v/>
      </c>
      <c r="N270" s="2" t="str">
        <f t="shared" si="8"/>
        <v/>
      </c>
      <c r="O270" s="2" t="str">
        <f t="shared" si="9"/>
        <v/>
      </c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 t="str">
        <f>IF(A271="","",COUNTIF(Страницы_и_экраны!$E$5:$E$304,A271))</f>
        <v/>
      </c>
      <c r="N271" s="2" t="str">
        <f t="shared" si="8"/>
        <v/>
      </c>
      <c r="O271" s="2" t="str">
        <f t="shared" si="9"/>
        <v/>
      </c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 t="str">
        <f>IF(A272="","",COUNTIF(Страницы_и_экраны!$E$5:$E$304,A272))</f>
        <v/>
      </c>
      <c r="N272" s="2" t="str">
        <f t="shared" si="8"/>
        <v/>
      </c>
      <c r="O272" s="2" t="str">
        <f t="shared" si="9"/>
        <v/>
      </c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 t="str">
        <f>IF(A273="","",COUNTIF(Страницы_и_экраны!$E$5:$E$304,A273))</f>
        <v/>
      </c>
      <c r="N273" s="2" t="str">
        <f t="shared" si="8"/>
        <v/>
      </c>
      <c r="O273" s="2" t="str">
        <f t="shared" si="9"/>
        <v/>
      </c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 t="str">
        <f>IF(A274="","",COUNTIF(Страницы_и_экраны!$E$5:$E$304,A274))</f>
        <v/>
      </c>
      <c r="N274" s="2" t="str">
        <f t="shared" si="8"/>
        <v/>
      </c>
      <c r="O274" s="2" t="str">
        <f t="shared" si="9"/>
        <v/>
      </c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 t="str">
        <f>IF(A275="","",COUNTIF(Страницы_и_экраны!$E$5:$E$304,A275))</f>
        <v/>
      </c>
      <c r="N275" s="2" t="str">
        <f t="shared" si="8"/>
        <v/>
      </c>
      <c r="O275" s="2" t="str">
        <f t="shared" si="9"/>
        <v/>
      </c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 t="str">
        <f>IF(A276="","",COUNTIF(Страницы_и_экраны!$E$5:$E$304,A276))</f>
        <v/>
      </c>
      <c r="N276" s="2" t="str">
        <f t="shared" si="8"/>
        <v/>
      </c>
      <c r="O276" s="2" t="str">
        <f t="shared" si="9"/>
        <v/>
      </c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 t="str">
        <f>IF(A277="","",COUNTIF(Страницы_и_экраны!$E$5:$E$304,A277))</f>
        <v/>
      </c>
      <c r="N277" s="2" t="str">
        <f t="shared" si="8"/>
        <v/>
      </c>
      <c r="O277" s="2" t="str">
        <f t="shared" si="9"/>
        <v/>
      </c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 t="str">
        <f>IF(A278="","",COUNTIF(Страницы_и_экраны!$E$5:$E$304,A278))</f>
        <v/>
      </c>
      <c r="N278" s="2" t="str">
        <f t="shared" si="8"/>
        <v/>
      </c>
      <c r="O278" s="2" t="str">
        <f t="shared" si="9"/>
        <v/>
      </c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 t="str">
        <f>IF(A279="","",COUNTIF(Страницы_и_экраны!$E$5:$E$304,A279))</f>
        <v/>
      </c>
      <c r="N279" s="2" t="str">
        <f t="shared" si="8"/>
        <v/>
      </c>
      <c r="O279" s="2" t="str">
        <f t="shared" si="9"/>
        <v/>
      </c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 t="str">
        <f>IF(A280="","",COUNTIF(Страницы_и_экраны!$E$5:$E$304,A280))</f>
        <v/>
      </c>
      <c r="N280" s="2" t="str">
        <f t="shared" si="8"/>
        <v/>
      </c>
      <c r="O280" s="2" t="str">
        <f t="shared" si="9"/>
        <v/>
      </c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 t="str">
        <f>IF(A281="","",COUNTIF(Страницы_и_экраны!$E$5:$E$304,A281))</f>
        <v/>
      </c>
      <c r="N281" s="2" t="str">
        <f t="shared" si="8"/>
        <v/>
      </c>
      <c r="O281" s="2" t="str">
        <f t="shared" si="9"/>
        <v/>
      </c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 t="str">
        <f>IF(A282="","",COUNTIF(Страницы_и_экраны!$E$5:$E$304,A282))</f>
        <v/>
      </c>
      <c r="N282" s="2" t="str">
        <f t="shared" si="8"/>
        <v/>
      </c>
      <c r="O282" s="2" t="str">
        <f t="shared" si="9"/>
        <v/>
      </c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 t="str">
        <f>IF(A283="","",COUNTIF(Страницы_и_экраны!$E$5:$E$304,A283))</f>
        <v/>
      </c>
      <c r="N283" s="2" t="str">
        <f t="shared" si="8"/>
        <v/>
      </c>
      <c r="O283" s="2" t="str">
        <f t="shared" si="9"/>
        <v/>
      </c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 t="str">
        <f>IF(A284="","",COUNTIF(Страницы_и_экраны!$E$5:$E$304,A284))</f>
        <v/>
      </c>
      <c r="N284" s="2" t="str">
        <f t="shared" si="8"/>
        <v/>
      </c>
      <c r="O284" s="2" t="str">
        <f t="shared" si="9"/>
        <v/>
      </c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 t="str">
        <f>IF(A285="","",COUNTIF(Страницы_и_экраны!$E$5:$E$304,A285))</f>
        <v/>
      </c>
      <c r="N285" s="2" t="str">
        <f t="shared" si="8"/>
        <v/>
      </c>
      <c r="O285" s="2" t="str">
        <f t="shared" si="9"/>
        <v/>
      </c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 t="str">
        <f>IF(A286="","",COUNTIF(Страницы_и_экраны!$E$5:$E$304,A286))</f>
        <v/>
      </c>
      <c r="N286" s="2" t="str">
        <f t="shared" si="8"/>
        <v/>
      </c>
      <c r="O286" s="2" t="str">
        <f t="shared" si="9"/>
        <v/>
      </c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 t="str">
        <f>IF(A287="","",COUNTIF(Страницы_и_экраны!$E$5:$E$304,A287))</f>
        <v/>
      </c>
      <c r="N287" s="2" t="str">
        <f t="shared" si="8"/>
        <v/>
      </c>
      <c r="O287" s="2" t="str">
        <f t="shared" si="9"/>
        <v/>
      </c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 t="str">
        <f>IF(A288="","",COUNTIF(Страницы_и_экраны!$E$5:$E$304,A288))</f>
        <v/>
      </c>
      <c r="N288" s="2" t="str">
        <f t="shared" si="8"/>
        <v/>
      </c>
      <c r="O288" s="2" t="str">
        <f t="shared" si="9"/>
        <v/>
      </c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 t="str">
        <f>IF(A289="","",COUNTIF(Страницы_и_экраны!$E$5:$E$304,A289))</f>
        <v/>
      </c>
      <c r="N289" s="2" t="str">
        <f t="shared" si="8"/>
        <v/>
      </c>
      <c r="O289" s="2" t="str">
        <f t="shared" si="9"/>
        <v/>
      </c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 t="str">
        <f>IF(A290="","",COUNTIF(Страницы_и_экраны!$E$5:$E$304,A290))</f>
        <v/>
      </c>
      <c r="N290" s="2" t="str">
        <f t="shared" si="8"/>
        <v/>
      </c>
      <c r="O290" s="2" t="str">
        <f t="shared" si="9"/>
        <v/>
      </c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 t="str">
        <f>IF(A291="","",COUNTIF(Страницы_и_экраны!$E$5:$E$304,A291))</f>
        <v/>
      </c>
      <c r="N291" s="2" t="str">
        <f t="shared" si="8"/>
        <v/>
      </c>
      <c r="O291" s="2" t="str">
        <f t="shared" si="9"/>
        <v/>
      </c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 t="str">
        <f>IF(A292="","",COUNTIF(Страницы_и_экраны!$E$5:$E$304,A292))</f>
        <v/>
      </c>
      <c r="N292" s="2" t="str">
        <f t="shared" si="8"/>
        <v/>
      </c>
      <c r="O292" s="2" t="str">
        <f t="shared" si="9"/>
        <v/>
      </c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 t="str">
        <f>IF(A293="","",COUNTIF(Страницы_и_экраны!$E$5:$E$304,A293))</f>
        <v/>
      </c>
      <c r="N293" s="2" t="str">
        <f t="shared" si="8"/>
        <v/>
      </c>
      <c r="O293" s="2" t="str">
        <f t="shared" si="9"/>
        <v/>
      </c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 t="str">
        <f>IF(A294="","",COUNTIF(Страницы_и_экраны!$E$5:$E$304,A294))</f>
        <v/>
      </c>
      <c r="N294" s="2" t="str">
        <f t="shared" si="8"/>
        <v/>
      </c>
      <c r="O294" s="2" t="str">
        <f t="shared" si="9"/>
        <v/>
      </c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 t="str">
        <f>IF(A295="","",COUNTIF(Страницы_и_экраны!$E$5:$E$304,A295))</f>
        <v/>
      </c>
      <c r="N295" s="2" t="str">
        <f t="shared" si="8"/>
        <v/>
      </c>
      <c r="O295" s="2" t="str">
        <f t="shared" si="9"/>
        <v/>
      </c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 t="str">
        <f>IF(A296="","",COUNTIF(Страницы_и_экраны!$E$5:$E$304,A296))</f>
        <v/>
      </c>
      <c r="N296" s="2" t="str">
        <f t="shared" si="8"/>
        <v/>
      </c>
      <c r="O296" s="2" t="str">
        <f t="shared" si="9"/>
        <v/>
      </c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 t="str">
        <f>IF(A297="","",COUNTIF(Страницы_и_экраны!$E$5:$E$304,A297))</f>
        <v/>
      </c>
      <c r="N297" s="2" t="str">
        <f t="shared" si="8"/>
        <v/>
      </c>
      <c r="O297" s="2" t="str">
        <f t="shared" si="9"/>
        <v/>
      </c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 t="str">
        <f>IF(A298="","",COUNTIF(Страницы_и_экраны!$E$5:$E$304,A298))</f>
        <v/>
      </c>
      <c r="N298" s="2" t="str">
        <f t="shared" si="8"/>
        <v/>
      </c>
      <c r="O298" s="2" t="str">
        <f t="shared" si="9"/>
        <v/>
      </c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 t="str">
        <f>IF(A299="","",COUNTIF(Страницы_и_экраны!$E$5:$E$304,A299))</f>
        <v/>
      </c>
      <c r="N299" s="2" t="str">
        <f t="shared" si="8"/>
        <v/>
      </c>
      <c r="O299" s="2" t="str">
        <f t="shared" si="9"/>
        <v/>
      </c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 t="str">
        <f>IF(A300="","",COUNTIF(Страницы_и_экраны!$E$5:$E$304,A300))</f>
        <v/>
      </c>
      <c r="N300" s="2" t="str">
        <f t="shared" si="8"/>
        <v/>
      </c>
      <c r="O300" s="2" t="str">
        <f t="shared" si="9"/>
        <v/>
      </c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 t="str">
        <f>IF(A301="","",COUNTIF(Страницы_и_экраны!$E$5:$E$304,A301))</f>
        <v/>
      </c>
      <c r="N301" s="2" t="str">
        <f t="shared" si="8"/>
        <v/>
      </c>
      <c r="O301" s="2" t="str">
        <f t="shared" si="9"/>
        <v/>
      </c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 t="str">
        <f>IF(A302="","",COUNTIF(Страницы_и_экраны!$E$5:$E$304,A302))</f>
        <v/>
      </c>
      <c r="N302" s="2" t="str">
        <f t="shared" si="8"/>
        <v/>
      </c>
      <c r="O302" s="2" t="str">
        <f t="shared" si="9"/>
        <v/>
      </c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 t="str">
        <f>IF(A303="","",COUNTIF(Страницы_и_экраны!$E$5:$E$304,A303))</f>
        <v/>
      </c>
      <c r="N303" s="2" t="str">
        <f t="shared" si="8"/>
        <v/>
      </c>
      <c r="O303" s="2" t="str">
        <f t="shared" si="9"/>
        <v/>
      </c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 t="str">
        <f>IF(A304="","",COUNTIF(Страницы_и_экраны!$E$5:$E$304,A304))</f>
        <v/>
      </c>
      <c r="N304" s="2" t="str">
        <f t="shared" si="8"/>
        <v/>
      </c>
      <c r="O304" s="2" t="str">
        <f t="shared" si="9"/>
        <v/>
      </c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O1"/>
    <mergeCell ref="A2:O2"/>
  </mergeCells>
  <conditionalFormatting sqref="N5:N304">
    <cfRule type="expression" dxfId="5" priority="1">
      <formula>N5="Нет страницы/экрана"</formula>
    </cfRule>
    <cfRule type="expression" dxfId="4" priority="2">
      <formula>N5="Покрыт"</formula>
    </cfRule>
  </conditionalFormatting>
  <dataValidations count="2">
    <dataValidation type="list" sqref="C5:C304" xr:uid="{00000000-0002-0000-0300-000000000000}">
      <formula1>"Осведомление,Первичный интерес,Оценка решения,Регистрация,Настройка,Основное использование,Оплата,Поддержка,Повторное использование,Отток/возврат"</formula1>
    </dataValidation>
    <dataValidation type="list" sqref="J5:L304" xr:uid="{00000000-0002-0000-03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05"/>
  <sheetViews>
    <sheetView workbookViewId="0"/>
  </sheetViews>
  <sheetFormatPr defaultRowHeight="13.5"/>
  <cols>
    <col min="1" max="1" width="12" customWidth="1"/>
    <col min="2" max="2" width="18" customWidth="1"/>
    <col min="3" max="3" width="26" customWidth="1"/>
    <col min="4" max="4" width="42" customWidth="1"/>
    <col min="5" max="5" width="15" customWidth="1"/>
    <col min="6" max="6" width="12" customWidth="1"/>
    <col min="7" max="7" width="20" customWidth="1"/>
    <col min="8" max="8" width="34" customWidth="1"/>
    <col min="9" max="9" width="30" customWidth="1"/>
    <col min="10" max="10" width="28" customWidth="1"/>
    <col min="11" max="11" width="38" customWidth="1"/>
    <col min="12" max="12" width="42" customWidth="1"/>
    <col min="13" max="13" width="30" customWidth="1"/>
    <col min="14" max="14" width="32" customWidth="1"/>
    <col min="15" max="15" width="18" customWidth="1"/>
    <col min="16" max="16" width="24" customWidth="1"/>
    <col min="17" max="17" width="16" customWidth="1"/>
    <col min="18" max="18" width="22" customWidth="1"/>
    <col min="19" max="19" width="14" customWidth="1"/>
    <col min="20" max="20" width="16" customWidth="1"/>
    <col min="21" max="21" width="24" customWidth="1"/>
  </cols>
  <sheetData>
    <row r="1" spans="1:21" ht="16.05" customHeight="1">
      <c r="A1" s="6" t="s">
        <v>87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ht="16.05" customHeight="1">
      <c r="A2" s="7" t="s">
        <v>88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05" customHeight="1">
      <c r="A4" s="3" t="s">
        <v>89</v>
      </c>
      <c r="B4" s="3" t="s">
        <v>90</v>
      </c>
      <c r="C4" s="3" t="s">
        <v>91</v>
      </c>
      <c r="D4" s="3" t="s">
        <v>92</v>
      </c>
      <c r="E4" s="3" t="s">
        <v>93</v>
      </c>
      <c r="F4" s="3" t="s">
        <v>55</v>
      </c>
      <c r="G4" s="3" t="s">
        <v>71</v>
      </c>
      <c r="H4" s="3" t="s">
        <v>94</v>
      </c>
      <c r="I4" s="3" t="s">
        <v>95</v>
      </c>
      <c r="J4" s="3" t="s">
        <v>96</v>
      </c>
      <c r="K4" s="3" t="s">
        <v>76</v>
      </c>
      <c r="L4" s="3" t="s">
        <v>97</v>
      </c>
      <c r="M4" s="3" t="s">
        <v>98</v>
      </c>
      <c r="N4" s="3" t="s">
        <v>99</v>
      </c>
      <c r="O4" s="3" t="s">
        <v>100</v>
      </c>
      <c r="P4" s="3" t="s">
        <v>101</v>
      </c>
      <c r="Q4" s="3" t="s">
        <v>102</v>
      </c>
      <c r="R4" s="3" t="s">
        <v>103</v>
      </c>
      <c r="S4" s="3" t="s">
        <v>104</v>
      </c>
      <c r="T4" s="3" t="s">
        <v>105</v>
      </c>
      <c r="U4" s="3" t="s">
        <v>106</v>
      </c>
    </row>
    <row r="5" spans="1:21" ht="27">
      <c r="A5" s="2" t="s">
        <v>107</v>
      </c>
      <c r="B5" s="2" t="s">
        <v>108</v>
      </c>
      <c r="C5" s="2" t="s">
        <v>109</v>
      </c>
      <c r="D5" s="2" t="s">
        <v>465</v>
      </c>
      <c r="E5" s="2" t="s">
        <v>52</v>
      </c>
      <c r="F5" s="2" t="s">
        <v>47</v>
      </c>
      <c r="G5" s="2" t="s">
        <v>398</v>
      </c>
      <c r="H5" s="2" t="s">
        <v>466</v>
      </c>
      <c r="I5" s="2" t="s">
        <v>467</v>
      </c>
      <c r="J5" s="2" t="s">
        <v>468</v>
      </c>
      <c r="K5" s="2" t="s">
        <v>469</v>
      </c>
      <c r="L5" s="2" t="s">
        <v>470</v>
      </c>
      <c r="M5" s="2" t="s">
        <v>471</v>
      </c>
      <c r="N5" s="2" t="s">
        <v>472</v>
      </c>
      <c r="O5" s="2" t="s">
        <v>110</v>
      </c>
      <c r="P5" s="2" t="s">
        <v>473</v>
      </c>
      <c r="Q5" s="2">
        <f>IF(A5="","",IFERROR(INDEX(Пользовательские_сценарии!$O$5:$O$304,MATCH(E5,Пользовательские_сценарии!$A$5:$A$304,0)),0))</f>
        <v>56</v>
      </c>
      <c r="R5" s="2" t="s">
        <v>474</v>
      </c>
      <c r="S5" s="2">
        <v>4</v>
      </c>
      <c r="T5" s="4">
        <f t="shared" ref="T5:T68" si="0">IF(A5="","",ROUND(COUNTA(D5:P5)/13,2))</f>
        <v>1</v>
      </c>
      <c r="U5" s="2" t="s">
        <v>113</v>
      </c>
    </row>
    <row r="6" spans="1:21" ht="27">
      <c r="A6" s="2" t="s">
        <v>114</v>
      </c>
      <c r="B6" s="2" t="s">
        <v>108</v>
      </c>
      <c r="C6" s="2" t="s">
        <v>475</v>
      </c>
      <c r="D6" s="2" t="s">
        <v>476</v>
      </c>
      <c r="E6" s="2" t="s">
        <v>85</v>
      </c>
      <c r="F6" s="2" t="s">
        <v>47</v>
      </c>
      <c r="G6" s="2" t="s">
        <v>477</v>
      </c>
      <c r="H6" s="2" t="s">
        <v>478</v>
      </c>
      <c r="I6" s="2" t="s">
        <v>479</v>
      </c>
      <c r="J6" s="2" t="s">
        <v>480</v>
      </c>
      <c r="K6" s="2" t="s">
        <v>481</v>
      </c>
      <c r="L6" s="2" t="s">
        <v>482</v>
      </c>
      <c r="M6" s="2" t="s">
        <v>483</v>
      </c>
      <c r="N6" s="2" t="s">
        <v>472</v>
      </c>
      <c r="O6" s="2" t="s">
        <v>110</v>
      </c>
      <c r="P6" s="2" t="s">
        <v>473</v>
      </c>
      <c r="Q6" s="2">
        <f>IF(A6="","",IFERROR(INDEX(Пользовательские_сценарии!$O$5:$O$304,MATCH(E6,Пользовательские_сценарии!$A$5:$A$304,0)),0))</f>
        <v>56</v>
      </c>
      <c r="R6" s="2" t="s">
        <v>474</v>
      </c>
      <c r="S6" s="2">
        <v>4</v>
      </c>
      <c r="T6" s="4">
        <f t="shared" si="0"/>
        <v>1</v>
      </c>
      <c r="U6" s="2" t="s">
        <v>113</v>
      </c>
    </row>
    <row r="7" spans="1:21" ht="27">
      <c r="A7" s="2" t="s">
        <v>484</v>
      </c>
      <c r="B7" s="2" t="s">
        <v>108</v>
      </c>
      <c r="C7" s="2" t="s">
        <v>485</v>
      </c>
      <c r="D7" s="2" t="s">
        <v>486</v>
      </c>
      <c r="E7" s="2" t="s">
        <v>85</v>
      </c>
      <c r="F7" s="2" t="s">
        <v>47</v>
      </c>
      <c r="G7" s="2" t="s">
        <v>411</v>
      </c>
      <c r="H7" s="2" t="s">
        <v>487</v>
      </c>
      <c r="I7" s="2" t="s">
        <v>488</v>
      </c>
      <c r="J7" s="2" t="s">
        <v>489</v>
      </c>
      <c r="K7" s="2" t="s">
        <v>490</v>
      </c>
      <c r="L7" s="2" t="s">
        <v>491</v>
      </c>
      <c r="M7" s="2" t="s">
        <v>492</v>
      </c>
      <c r="N7" s="2" t="s">
        <v>493</v>
      </c>
      <c r="O7" s="2" t="s">
        <v>110</v>
      </c>
      <c r="P7" s="2" t="s">
        <v>111</v>
      </c>
      <c r="Q7" s="2">
        <f>IF(A7="","",IFERROR(INDEX(Пользовательские_сценарии!$O$5:$O$304,MATCH(E7,Пользовательские_сценарии!$A$5:$A$304,0)),0))</f>
        <v>56</v>
      </c>
      <c r="R7" s="2" t="s">
        <v>474</v>
      </c>
      <c r="S7" s="2">
        <v>4</v>
      </c>
      <c r="T7" s="4">
        <f t="shared" si="0"/>
        <v>1</v>
      </c>
      <c r="U7" s="2"/>
    </row>
    <row r="8" spans="1:21" ht="27">
      <c r="A8" s="2" t="s">
        <v>494</v>
      </c>
      <c r="B8" s="2" t="s">
        <v>108</v>
      </c>
      <c r="C8" s="2" t="s">
        <v>495</v>
      </c>
      <c r="D8" s="2" t="s">
        <v>496</v>
      </c>
      <c r="E8" s="2" t="s">
        <v>459</v>
      </c>
      <c r="F8" s="2" t="s">
        <v>328</v>
      </c>
      <c r="G8" s="2" t="s">
        <v>452</v>
      </c>
      <c r="H8" s="2" t="s">
        <v>497</v>
      </c>
      <c r="I8" s="2" t="s">
        <v>498</v>
      </c>
      <c r="J8" s="2" t="s">
        <v>499</v>
      </c>
      <c r="K8" s="2" t="s">
        <v>500</v>
      </c>
      <c r="L8" s="2" t="s">
        <v>501</v>
      </c>
      <c r="M8" s="2" t="s">
        <v>502</v>
      </c>
      <c r="N8" s="2" t="s">
        <v>503</v>
      </c>
      <c r="O8" s="2" t="s">
        <v>110</v>
      </c>
      <c r="P8" s="2" t="s">
        <v>473</v>
      </c>
      <c r="Q8" s="2">
        <f>IF(A8="","",IFERROR(INDEX(Пользовательские_сценарии!$O$5:$O$304,MATCH(E8,Пользовательские_сценарии!$A$5:$A$304,0)),0))</f>
        <v>40</v>
      </c>
      <c r="R8" s="2" t="s">
        <v>474</v>
      </c>
      <c r="S8" s="2">
        <v>3</v>
      </c>
      <c r="T8" s="4">
        <f t="shared" si="0"/>
        <v>1</v>
      </c>
      <c r="U8" s="2"/>
    </row>
    <row r="9" spans="1:21" ht="27">
      <c r="A9" s="2" t="s">
        <v>504</v>
      </c>
      <c r="B9" s="2" t="s">
        <v>108</v>
      </c>
      <c r="C9" s="2" t="s">
        <v>505</v>
      </c>
      <c r="D9" s="2" t="s">
        <v>506</v>
      </c>
      <c r="E9" s="2" t="s">
        <v>48</v>
      </c>
      <c r="F9" s="2" t="s">
        <v>51</v>
      </c>
      <c r="G9" s="2" t="s">
        <v>411</v>
      </c>
      <c r="H9" s="2" t="s">
        <v>507</v>
      </c>
      <c r="I9" s="2" t="s">
        <v>508</v>
      </c>
      <c r="J9" s="2" t="s">
        <v>509</v>
      </c>
      <c r="K9" s="2" t="s">
        <v>416</v>
      </c>
      <c r="L9" s="2" t="s">
        <v>510</v>
      </c>
      <c r="M9" s="2" t="s">
        <v>511</v>
      </c>
      <c r="N9" s="2" t="s">
        <v>512</v>
      </c>
      <c r="O9" s="2" t="s">
        <v>110</v>
      </c>
      <c r="P9" s="2" t="s">
        <v>473</v>
      </c>
      <c r="Q9" s="2">
        <f>IF(A9="","",IFERROR(INDEX(Пользовательские_сценарии!$O$5:$O$304,MATCH(E9,Пользовательские_сценарии!$A$5:$A$304,0)),0))</f>
        <v>56</v>
      </c>
      <c r="R9" s="2" t="s">
        <v>474</v>
      </c>
      <c r="S9" s="2">
        <v>4</v>
      </c>
      <c r="T9" s="4">
        <f t="shared" si="0"/>
        <v>1</v>
      </c>
      <c r="U9" s="2"/>
    </row>
    <row r="10" spans="1:21" ht="27">
      <c r="A10" s="2" t="s">
        <v>513</v>
      </c>
      <c r="B10" s="2" t="s">
        <v>108</v>
      </c>
      <c r="C10" s="2" t="s">
        <v>514</v>
      </c>
      <c r="D10" s="2" t="s">
        <v>515</v>
      </c>
      <c r="E10" s="2" t="s">
        <v>353</v>
      </c>
      <c r="F10" s="2" t="s">
        <v>352</v>
      </c>
      <c r="G10" s="2" t="s">
        <v>444</v>
      </c>
      <c r="H10" s="2" t="s">
        <v>516</v>
      </c>
      <c r="I10" s="2" t="s">
        <v>517</v>
      </c>
      <c r="J10" s="2" t="s">
        <v>518</v>
      </c>
      <c r="K10" s="2" t="s">
        <v>519</v>
      </c>
      <c r="L10" s="2" t="s">
        <v>520</v>
      </c>
      <c r="M10" s="2" t="s">
        <v>521</v>
      </c>
      <c r="N10" s="2" t="s">
        <v>522</v>
      </c>
      <c r="O10" s="2" t="s">
        <v>254</v>
      </c>
      <c r="P10" s="2" t="s">
        <v>523</v>
      </c>
      <c r="Q10" s="2">
        <f>IF(A10="","",IFERROR(INDEX(Пользовательские_сценарии!$O$5:$O$304,MATCH(E10,Пользовательские_сценарии!$A$5:$A$304,0)),0))</f>
        <v>54</v>
      </c>
      <c r="R10" s="2" t="s">
        <v>112</v>
      </c>
      <c r="S10" s="2">
        <v>3</v>
      </c>
      <c r="T10" s="4">
        <f t="shared" si="0"/>
        <v>1</v>
      </c>
      <c r="U10" s="2"/>
    </row>
    <row r="11" spans="1:21" ht="27">
      <c r="A11" s="2" t="s">
        <v>524</v>
      </c>
      <c r="B11" s="2" t="s">
        <v>115</v>
      </c>
      <c r="C11" s="2" t="s">
        <v>525</v>
      </c>
      <c r="D11" s="2" t="s">
        <v>526</v>
      </c>
      <c r="E11" s="2" t="s">
        <v>329</v>
      </c>
      <c r="F11" s="2" t="s">
        <v>51</v>
      </c>
      <c r="G11" s="2" t="s">
        <v>419</v>
      </c>
      <c r="H11" s="2" t="s">
        <v>527</v>
      </c>
      <c r="I11" s="2" t="s">
        <v>528</v>
      </c>
      <c r="J11" s="2" t="s">
        <v>529</v>
      </c>
      <c r="K11" s="2" t="s">
        <v>530</v>
      </c>
      <c r="L11" s="2" t="s">
        <v>531</v>
      </c>
      <c r="M11" s="2" t="s">
        <v>532</v>
      </c>
      <c r="N11" s="2" t="s">
        <v>533</v>
      </c>
      <c r="O11" s="2" t="s">
        <v>254</v>
      </c>
      <c r="P11" s="2" t="s">
        <v>473</v>
      </c>
      <c r="Q11" s="2">
        <f>IF(A11="","",IFERROR(INDEX(Пользовательские_сценарии!$O$5:$O$304,MATCH(E11,Пользовательские_сценарии!$A$5:$A$304,0)),0))</f>
        <v>50</v>
      </c>
      <c r="R11" s="2" t="s">
        <v>474</v>
      </c>
      <c r="S11" s="2">
        <v>4</v>
      </c>
      <c r="T11" s="4">
        <f t="shared" si="0"/>
        <v>1</v>
      </c>
      <c r="U11" s="2"/>
    </row>
    <row r="12" spans="1:21" ht="27">
      <c r="A12" s="2" t="s">
        <v>534</v>
      </c>
      <c r="B12" s="2" t="s">
        <v>115</v>
      </c>
      <c r="C12" s="2" t="s">
        <v>535</v>
      </c>
      <c r="D12" s="2" t="s">
        <v>536</v>
      </c>
      <c r="E12" s="2" t="s">
        <v>418</v>
      </c>
      <c r="F12" s="2" t="s">
        <v>51</v>
      </c>
      <c r="G12" s="2" t="s">
        <v>419</v>
      </c>
      <c r="H12" s="2" t="s">
        <v>537</v>
      </c>
      <c r="I12" s="2" t="s">
        <v>538</v>
      </c>
      <c r="J12" s="2" t="s">
        <v>539</v>
      </c>
      <c r="K12" s="2" t="s">
        <v>424</v>
      </c>
      <c r="L12" s="2" t="s">
        <v>540</v>
      </c>
      <c r="M12" s="2" t="s">
        <v>541</v>
      </c>
      <c r="N12" s="2" t="s">
        <v>542</v>
      </c>
      <c r="O12" s="2" t="s">
        <v>254</v>
      </c>
      <c r="P12" s="2" t="s">
        <v>543</v>
      </c>
      <c r="Q12" s="2">
        <f>IF(A12="","",IFERROR(INDEX(Пользовательские_сценарии!$O$5:$O$304,MATCH(E12,Пользовательские_сценарии!$A$5:$A$304,0)),0))</f>
        <v>64</v>
      </c>
      <c r="R12" s="2" t="s">
        <v>474</v>
      </c>
      <c r="S12" s="2">
        <v>4</v>
      </c>
      <c r="T12" s="4">
        <f t="shared" si="0"/>
        <v>1</v>
      </c>
      <c r="U12" s="2"/>
    </row>
    <row r="13" spans="1:21" ht="27">
      <c r="A13" s="2" t="s">
        <v>544</v>
      </c>
      <c r="B13" s="2" t="s">
        <v>115</v>
      </c>
      <c r="C13" s="2" t="s">
        <v>545</v>
      </c>
      <c r="D13" s="2" t="s">
        <v>546</v>
      </c>
      <c r="E13" s="2" t="s">
        <v>369</v>
      </c>
      <c r="F13" s="2" t="s">
        <v>51</v>
      </c>
      <c r="G13" s="2" t="s">
        <v>419</v>
      </c>
      <c r="H13" s="2" t="s">
        <v>547</v>
      </c>
      <c r="I13" s="2" t="s">
        <v>548</v>
      </c>
      <c r="J13" s="2" t="s">
        <v>549</v>
      </c>
      <c r="K13" s="2" t="s">
        <v>435</v>
      </c>
      <c r="L13" s="2" t="s">
        <v>550</v>
      </c>
      <c r="M13" s="2" t="s">
        <v>551</v>
      </c>
      <c r="N13" s="2" t="s">
        <v>552</v>
      </c>
      <c r="O13" s="2" t="s">
        <v>254</v>
      </c>
      <c r="P13" s="2" t="s">
        <v>553</v>
      </c>
      <c r="Q13" s="2">
        <f>IF(A13="","",IFERROR(INDEX(Пользовательские_сценарии!$O$5:$O$304,MATCH(E13,Пользовательские_сценарии!$A$5:$A$304,0)),0))</f>
        <v>72</v>
      </c>
      <c r="R13" s="2" t="s">
        <v>474</v>
      </c>
      <c r="S13" s="2">
        <v>5</v>
      </c>
      <c r="T13" s="4">
        <f t="shared" si="0"/>
        <v>1</v>
      </c>
      <c r="U13" s="2"/>
    </row>
    <row r="14" spans="1:21" ht="27">
      <c r="A14" s="2" t="s">
        <v>554</v>
      </c>
      <c r="B14" s="2" t="s">
        <v>115</v>
      </c>
      <c r="C14" s="2" t="s">
        <v>555</v>
      </c>
      <c r="D14" s="2" t="s">
        <v>556</v>
      </c>
      <c r="E14" s="2" t="s">
        <v>437</v>
      </c>
      <c r="F14" s="2" t="s">
        <v>328</v>
      </c>
      <c r="G14" s="2" t="s">
        <v>438</v>
      </c>
      <c r="H14" s="2" t="s">
        <v>557</v>
      </c>
      <c r="I14" s="2" t="s">
        <v>558</v>
      </c>
      <c r="J14" s="2" t="s">
        <v>559</v>
      </c>
      <c r="K14" s="2" t="s">
        <v>560</v>
      </c>
      <c r="L14" s="2" t="s">
        <v>561</v>
      </c>
      <c r="M14" s="2" t="s">
        <v>562</v>
      </c>
      <c r="N14" s="2" t="s">
        <v>563</v>
      </c>
      <c r="O14" s="2" t="s">
        <v>254</v>
      </c>
      <c r="P14" s="2" t="s">
        <v>473</v>
      </c>
      <c r="Q14" s="2">
        <f>IF(A14="","",IFERROR(INDEX(Пользовательские_сценарии!$O$5:$O$304,MATCH(E14,Пользовательские_сценарии!$A$5:$A$304,0)),0))</f>
        <v>52</v>
      </c>
      <c r="R14" s="2" t="s">
        <v>474</v>
      </c>
      <c r="S14" s="2">
        <v>3</v>
      </c>
      <c r="T14" s="4">
        <f t="shared" si="0"/>
        <v>1</v>
      </c>
      <c r="U14" s="2"/>
    </row>
    <row r="15" spans="1:21" ht="27">
      <c r="A15" s="2" t="s">
        <v>564</v>
      </c>
      <c r="B15" s="2" t="s">
        <v>115</v>
      </c>
      <c r="C15" s="2" t="s">
        <v>565</v>
      </c>
      <c r="D15" s="2" t="s">
        <v>566</v>
      </c>
      <c r="E15" s="2" t="s">
        <v>451</v>
      </c>
      <c r="F15" s="2" t="s">
        <v>51</v>
      </c>
      <c r="G15" s="2" t="s">
        <v>452</v>
      </c>
      <c r="H15" s="2" t="s">
        <v>567</v>
      </c>
      <c r="I15" s="2" t="s">
        <v>568</v>
      </c>
      <c r="J15" s="2" t="s">
        <v>569</v>
      </c>
      <c r="K15" s="2" t="s">
        <v>457</v>
      </c>
      <c r="L15" s="2" t="s">
        <v>570</v>
      </c>
      <c r="M15" s="2" t="s">
        <v>571</v>
      </c>
      <c r="N15" s="2" t="s">
        <v>572</v>
      </c>
      <c r="O15" s="2" t="s">
        <v>254</v>
      </c>
      <c r="P15" s="2" t="s">
        <v>473</v>
      </c>
      <c r="Q15" s="2">
        <f>IF(A15="","",IFERROR(INDEX(Пользовательские_сценарии!$O$5:$O$304,MATCH(E15,Пользовательские_сценарии!$A$5:$A$304,0)),0))</f>
        <v>52</v>
      </c>
      <c r="R15" s="2" t="s">
        <v>573</v>
      </c>
      <c r="S15" s="2">
        <v>2</v>
      </c>
      <c r="T15" s="4">
        <f t="shared" si="0"/>
        <v>1</v>
      </c>
      <c r="U15" s="2"/>
    </row>
    <row r="16" spans="1:21" ht="27">
      <c r="A16" s="2" t="s">
        <v>574</v>
      </c>
      <c r="B16" s="2" t="s">
        <v>115</v>
      </c>
      <c r="C16" s="2" t="s">
        <v>575</v>
      </c>
      <c r="D16" s="2" t="s">
        <v>576</v>
      </c>
      <c r="E16" s="2" t="s">
        <v>353</v>
      </c>
      <c r="F16" s="2" t="s">
        <v>352</v>
      </c>
      <c r="G16" s="2" t="s">
        <v>444</v>
      </c>
      <c r="H16" s="2" t="s">
        <v>577</v>
      </c>
      <c r="I16" s="2" t="s">
        <v>578</v>
      </c>
      <c r="J16" s="2" t="s">
        <v>127</v>
      </c>
      <c r="K16" s="2" t="s">
        <v>579</v>
      </c>
      <c r="L16" s="2" t="s">
        <v>580</v>
      </c>
      <c r="M16" s="2" t="s">
        <v>581</v>
      </c>
      <c r="N16" s="2" t="s">
        <v>582</v>
      </c>
      <c r="O16" s="2" t="s">
        <v>254</v>
      </c>
      <c r="P16" s="2" t="s">
        <v>523</v>
      </c>
      <c r="Q16" s="2">
        <f>IF(A16="","",IFERROR(INDEX(Пользовательские_сценарии!$O$5:$O$304,MATCH(E16,Пользовательские_сценарии!$A$5:$A$304,0)),0))</f>
        <v>54</v>
      </c>
      <c r="R16" s="2" t="s">
        <v>474</v>
      </c>
      <c r="S16" s="2">
        <v>3</v>
      </c>
      <c r="T16" s="4">
        <f t="shared" si="0"/>
        <v>1</v>
      </c>
      <c r="U16" s="2"/>
    </row>
    <row r="17" spans="1:21" ht="27">
      <c r="A17" s="2" t="s">
        <v>583</v>
      </c>
      <c r="B17" s="2" t="s">
        <v>115</v>
      </c>
      <c r="C17" s="2" t="s">
        <v>584</v>
      </c>
      <c r="D17" s="2" t="s">
        <v>585</v>
      </c>
      <c r="E17" s="2" t="s">
        <v>418</v>
      </c>
      <c r="F17" s="2" t="s">
        <v>51</v>
      </c>
      <c r="G17" s="2" t="s">
        <v>419</v>
      </c>
      <c r="H17" s="2" t="s">
        <v>586</v>
      </c>
      <c r="I17" s="2" t="s">
        <v>587</v>
      </c>
      <c r="J17" s="2" t="s">
        <v>588</v>
      </c>
      <c r="K17" s="2" t="s">
        <v>589</v>
      </c>
      <c r="L17" s="2" t="s">
        <v>590</v>
      </c>
      <c r="M17" s="2" t="s">
        <v>591</v>
      </c>
      <c r="N17" s="2" t="s">
        <v>592</v>
      </c>
      <c r="O17" s="2" t="s">
        <v>254</v>
      </c>
      <c r="P17" s="2" t="s">
        <v>593</v>
      </c>
      <c r="Q17" s="2">
        <f>IF(A17="","",IFERROR(INDEX(Пользовательские_сценарии!$O$5:$O$304,MATCH(E17,Пользовательские_сценарии!$A$5:$A$304,0)),0))</f>
        <v>64</v>
      </c>
      <c r="R17" s="2" t="s">
        <v>573</v>
      </c>
      <c r="S17" s="2">
        <v>3</v>
      </c>
      <c r="T17" s="4">
        <f t="shared" si="0"/>
        <v>1</v>
      </c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 t="str">
        <f>IF(A18="","",IFERROR(INDEX(Пользовательские_сценарии!$O$5:$O$304,MATCH(E18,Пользовательские_сценарии!$A$5:$A$304,0)),0))</f>
        <v/>
      </c>
      <c r="R18" s="2"/>
      <c r="S18" s="2"/>
      <c r="T18" s="4" t="str">
        <f t="shared" si="0"/>
        <v/>
      </c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 t="str">
        <f>IF(A19="","",IFERROR(INDEX(Пользовательские_сценарии!$O$5:$O$304,MATCH(E19,Пользовательские_сценарии!$A$5:$A$304,0)),0))</f>
        <v/>
      </c>
      <c r="R19" s="2"/>
      <c r="S19" s="2"/>
      <c r="T19" s="4" t="str">
        <f t="shared" si="0"/>
        <v/>
      </c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 t="str">
        <f>IF(A20="","",IFERROR(INDEX(Пользовательские_сценарии!$O$5:$O$304,MATCH(E20,Пользовательские_сценарии!$A$5:$A$304,0)),0))</f>
        <v/>
      </c>
      <c r="R20" s="2"/>
      <c r="S20" s="2"/>
      <c r="T20" s="4" t="str">
        <f t="shared" si="0"/>
        <v/>
      </c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 t="str">
        <f>IF(A21="","",IFERROR(INDEX(Пользовательские_сценарии!$O$5:$O$304,MATCH(E21,Пользовательские_сценарии!$A$5:$A$304,0)),0))</f>
        <v/>
      </c>
      <c r="R21" s="2"/>
      <c r="S21" s="2"/>
      <c r="T21" s="4" t="str">
        <f t="shared" si="0"/>
        <v/>
      </c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 t="str">
        <f>IF(A22="","",IFERROR(INDEX(Пользовательские_сценарии!$O$5:$O$304,MATCH(E22,Пользовательские_сценарии!$A$5:$A$304,0)),0))</f>
        <v/>
      </c>
      <c r="R22" s="2"/>
      <c r="S22" s="2"/>
      <c r="T22" s="4" t="str">
        <f t="shared" si="0"/>
        <v/>
      </c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 t="str">
        <f>IF(A23="","",IFERROR(INDEX(Пользовательские_сценарии!$O$5:$O$304,MATCH(E23,Пользовательские_сценарии!$A$5:$A$304,0)),0))</f>
        <v/>
      </c>
      <c r="R23" s="2"/>
      <c r="S23" s="2"/>
      <c r="T23" s="4" t="str">
        <f t="shared" si="0"/>
        <v/>
      </c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 t="str">
        <f>IF(A24="","",IFERROR(INDEX(Пользовательские_сценарии!$O$5:$O$304,MATCH(E24,Пользовательские_сценарии!$A$5:$A$304,0)),0))</f>
        <v/>
      </c>
      <c r="R24" s="2"/>
      <c r="S24" s="2"/>
      <c r="T24" s="4" t="str">
        <f t="shared" si="0"/>
        <v/>
      </c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 t="str">
        <f>IF(A25="","",IFERROR(INDEX(Пользовательские_сценарии!$O$5:$O$304,MATCH(E25,Пользовательские_сценарии!$A$5:$A$304,0)),0))</f>
        <v/>
      </c>
      <c r="R25" s="2"/>
      <c r="S25" s="2"/>
      <c r="T25" s="4" t="str">
        <f t="shared" si="0"/>
        <v/>
      </c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 t="str">
        <f>IF(A26="","",IFERROR(INDEX(Пользовательские_сценарии!$O$5:$O$304,MATCH(E26,Пользовательские_сценарии!$A$5:$A$304,0)),0))</f>
        <v/>
      </c>
      <c r="R26" s="2"/>
      <c r="S26" s="2"/>
      <c r="T26" s="4" t="str">
        <f t="shared" si="0"/>
        <v/>
      </c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 t="str">
        <f>IF(A27="","",IFERROR(INDEX(Пользовательские_сценарии!$O$5:$O$304,MATCH(E27,Пользовательские_сценарии!$A$5:$A$304,0)),0))</f>
        <v/>
      </c>
      <c r="R27" s="2"/>
      <c r="S27" s="2"/>
      <c r="T27" s="4" t="str">
        <f t="shared" si="0"/>
        <v/>
      </c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 t="str">
        <f>IF(A28="","",IFERROR(INDEX(Пользовательские_сценарии!$O$5:$O$304,MATCH(E28,Пользовательские_сценарии!$A$5:$A$304,0)),0))</f>
        <v/>
      </c>
      <c r="R28" s="2"/>
      <c r="S28" s="2"/>
      <c r="T28" s="4" t="str">
        <f t="shared" si="0"/>
        <v/>
      </c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 t="str">
        <f>IF(A29="","",IFERROR(INDEX(Пользовательские_сценарии!$O$5:$O$304,MATCH(E29,Пользовательские_сценарии!$A$5:$A$304,0)),0))</f>
        <v/>
      </c>
      <c r="R29" s="2"/>
      <c r="S29" s="2"/>
      <c r="T29" s="4" t="str">
        <f t="shared" si="0"/>
        <v/>
      </c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 t="str">
        <f>IF(A30="","",IFERROR(INDEX(Пользовательские_сценарии!$O$5:$O$304,MATCH(E30,Пользовательские_сценарии!$A$5:$A$304,0)),0))</f>
        <v/>
      </c>
      <c r="R30" s="2"/>
      <c r="S30" s="2"/>
      <c r="T30" s="4" t="str">
        <f t="shared" si="0"/>
        <v/>
      </c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 t="str">
        <f>IF(A31="","",IFERROR(INDEX(Пользовательские_сценарии!$O$5:$O$304,MATCH(E31,Пользовательские_сценарии!$A$5:$A$304,0)),0))</f>
        <v/>
      </c>
      <c r="R31" s="2"/>
      <c r="S31" s="2"/>
      <c r="T31" s="4" t="str">
        <f t="shared" si="0"/>
        <v/>
      </c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 t="str">
        <f>IF(A32="","",IFERROR(INDEX(Пользовательские_сценарии!$O$5:$O$304,MATCH(E32,Пользовательские_сценарии!$A$5:$A$304,0)),0))</f>
        <v/>
      </c>
      <c r="R32" s="2"/>
      <c r="S32" s="2"/>
      <c r="T32" s="4" t="str">
        <f t="shared" si="0"/>
        <v/>
      </c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 t="str">
        <f>IF(A33="","",IFERROR(INDEX(Пользовательские_сценарии!$O$5:$O$304,MATCH(E33,Пользовательские_сценарии!$A$5:$A$304,0)),0))</f>
        <v/>
      </c>
      <c r="R33" s="2"/>
      <c r="S33" s="2"/>
      <c r="T33" s="4" t="str">
        <f t="shared" si="0"/>
        <v/>
      </c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 t="str">
        <f>IF(A34="","",IFERROR(INDEX(Пользовательские_сценарии!$O$5:$O$304,MATCH(E34,Пользовательские_сценарии!$A$5:$A$304,0)),0))</f>
        <v/>
      </c>
      <c r="R34" s="2"/>
      <c r="S34" s="2"/>
      <c r="T34" s="4" t="str">
        <f t="shared" si="0"/>
        <v/>
      </c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 t="str">
        <f>IF(A35="","",IFERROR(INDEX(Пользовательские_сценарии!$O$5:$O$304,MATCH(E35,Пользовательские_сценарии!$A$5:$A$304,0)),0))</f>
        <v/>
      </c>
      <c r="R35" s="2"/>
      <c r="S35" s="2"/>
      <c r="T35" s="4" t="str">
        <f t="shared" si="0"/>
        <v/>
      </c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 t="str">
        <f>IF(A36="","",IFERROR(INDEX(Пользовательские_сценарии!$O$5:$O$304,MATCH(E36,Пользовательские_сценарии!$A$5:$A$304,0)),0))</f>
        <v/>
      </c>
      <c r="R36" s="2"/>
      <c r="S36" s="2"/>
      <c r="T36" s="4" t="str">
        <f t="shared" si="0"/>
        <v/>
      </c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 t="str">
        <f>IF(A37="","",IFERROR(INDEX(Пользовательские_сценарии!$O$5:$O$304,MATCH(E37,Пользовательские_сценарии!$A$5:$A$304,0)),0))</f>
        <v/>
      </c>
      <c r="R37" s="2"/>
      <c r="S37" s="2"/>
      <c r="T37" s="4" t="str">
        <f t="shared" si="0"/>
        <v/>
      </c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 t="str">
        <f>IF(A38="","",IFERROR(INDEX(Пользовательские_сценарии!$O$5:$O$304,MATCH(E38,Пользовательские_сценарии!$A$5:$A$304,0)),0))</f>
        <v/>
      </c>
      <c r="R38" s="2"/>
      <c r="S38" s="2"/>
      <c r="T38" s="4" t="str">
        <f t="shared" si="0"/>
        <v/>
      </c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 t="str">
        <f>IF(A39="","",IFERROR(INDEX(Пользовательские_сценарии!$O$5:$O$304,MATCH(E39,Пользовательские_сценарии!$A$5:$A$304,0)),0))</f>
        <v/>
      </c>
      <c r="R39" s="2"/>
      <c r="S39" s="2"/>
      <c r="T39" s="4" t="str">
        <f t="shared" si="0"/>
        <v/>
      </c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 t="str">
        <f>IF(A40="","",IFERROR(INDEX(Пользовательские_сценарии!$O$5:$O$304,MATCH(E40,Пользовательские_сценарии!$A$5:$A$304,0)),0))</f>
        <v/>
      </c>
      <c r="R40" s="2"/>
      <c r="S40" s="2"/>
      <c r="T40" s="4" t="str">
        <f t="shared" si="0"/>
        <v/>
      </c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 t="str">
        <f>IF(A41="","",IFERROR(INDEX(Пользовательские_сценарии!$O$5:$O$304,MATCH(E41,Пользовательские_сценарии!$A$5:$A$304,0)),0))</f>
        <v/>
      </c>
      <c r="R41" s="2"/>
      <c r="S41" s="2"/>
      <c r="T41" s="4" t="str">
        <f t="shared" si="0"/>
        <v/>
      </c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 t="str">
        <f>IF(A42="","",IFERROR(INDEX(Пользовательские_сценарии!$O$5:$O$304,MATCH(E42,Пользовательские_сценарии!$A$5:$A$304,0)),0))</f>
        <v/>
      </c>
      <c r="R42" s="2"/>
      <c r="S42" s="2"/>
      <c r="T42" s="4" t="str">
        <f t="shared" si="0"/>
        <v/>
      </c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 t="str">
        <f>IF(A43="","",IFERROR(INDEX(Пользовательские_сценарии!$O$5:$O$304,MATCH(E43,Пользовательские_сценарии!$A$5:$A$304,0)),0))</f>
        <v/>
      </c>
      <c r="R43" s="2"/>
      <c r="S43" s="2"/>
      <c r="T43" s="4" t="str">
        <f t="shared" si="0"/>
        <v/>
      </c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 t="str">
        <f>IF(A44="","",IFERROR(INDEX(Пользовательские_сценарии!$O$5:$O$304,MATCH(E44,Пользовательские_сценарии!$A$5:$A$304,0)),0))</f>
        <v/>
      </c>
      <c r="R44" s="2"/>
      <c r="S44" s="2"/>
      <c r="T44" s="4" t="str">
        <f t="shared" si="0"/>
        <v/>
      </c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 t="str">
        <f>IF(A45="","",IFERROR(INDEX(Пользовательские_сценарии!$O$5:$O$304,MATCH(E45,Пользовательские_сценарии!$A$5:$A$304,0)),0))</f>
        <v/>
      </c>
      <c r="R45" s="2"/>
      <c r="S45" s="2"/>
      <c r="T45" s="4" t="str">
        <f t="shared" si="0"/>
        <v/>
      </c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 t="str">
        <f>IF(A46="","",IFERROR(INDEX(Пользовательские_сценарии!$O$5:$O$304,MATCH(E46,Пользовательские_сценарии!$A$5:$A$304,0)),0))</f>
        <v/>
      </c>
      <c r="R46" s="2"/>
      <c r="S46" s="2"/>
      <c r="T46" s="4" t="str">
        <f t="shared" si="0"/>
        <v/>
      </c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 t="str">
        <f>IF(A47="","",IFERROR(INDEX(Пользовательские_сценарии!$O$5:$O$304,MATCH(E47,Пользовательские_сценарии!$A$5:$A$304,0)),0))</f>
        <v/>
      </c>
      <c r="R47" s="2"/>
      <c r="S47" s="2"/>
      <c r="T47" s="4" t="str">
        <f t="shared" si="0"/>
        <v/>
      </c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 t="str">
        <f>IF(A48="","",IFERROR(INDEX(Пользовательские_сценарии!$O$5:$O$304,MATCH(E48,Пользовательские_сценарии!$A$5:$A$304,0)),0))</f>
        <v/>
      </c>
      <c r="R48" s="2"/>
      <c r="S48" s="2"/>
      <c r="T48" s="4" t="str">
        <f t="shared" si="0"/>
        <v/>
      </c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 t="str">
        <f>IF(A49="","",IFERROR(INDEX(Пользовательские_сценарии!$O$5:$O$304,MATCH(E49,Пользовательские_сценарии!$A$5:$A$304,0)),0))</f>
        <v/>
      </c>
      <c r="R49" s="2"/>
      <c r="S49" s="2"/>
      <c r="T49" s="4" t="str">
        <f t="shared" si="0"/>
        <v/>
      </c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 t="str">
        <f>IF(A50="","",IFERROR(INDEX(Пользовательские_сценарии!$O$5:$O$304,MATCH(E50,Пользовательские_сценарии!$A$5:$A$304,0)),0))</f>
        <v/>
      </c>
      <c r="R50" s="2"/>
      <c r="S50" s="2"/>
      <c r="T50" s="4" t="str">
        <f t="shared" si="0"/>
        <v/>
      </c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 t="str">
        <f>IF(A51="","",IFERROR(INDEX(Пользовательские_сценарии!$O$5:$O$304,MATCH(E51,Пользовательские_сценарии!$A$5:$A$304,0)),0))</f>
        <v/>
      </c>
      <c r="R51" s="2"/>
      <c r="S51" s="2"/>
      <c r="T51" s="4" t="str">
        <f t="shared" si="0"/>
        <v/>
      </c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 t="str">
        <f>IF(A52="","",IFERROR(INDEX(Пользовательские_сценарии!$O$5:$O$304,MATCH(E52,Пользовательские_сценарии!$A$5:$A$304,0)),0))</f>
        <v/>
      </c>
      <c r="R52" s="2"/>
      <c r="S52" s="2"/>
      <c r="T52" s="4" t="str">
        <f t="shared" si="0"/>
        <v/>
      </c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 t="str">
        <f>IF(A53="","",IFERROR(INDEX(Пользовательские_сценарии!$O$5:$O$304,MATCH(E53,Пользовательские_сценарии!$A$5:$A$304,0)),0))</f>
        <v/>
      </c>
      <c r="R53" s="2"/>
      <c r="S53" s="2"/>
      <c r="T53" s="4" t="str">
        <f t="shared" si="0"/>
        <v/>
      </c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 t="str">
        <f>IF(A54="","",IFERROR(INDEX(Пользовательские_сценарии!$O$5:$O$304,MATCH(E54,Пользовательские_сценарии!$A$5:$A$304,0)),0))</f>
        <v/>
      </c>
      <c r="R54" s="2"/>
      <c r="S54" s="2"/>
      <c r="T54" s="4" t="str">
        <f t="shared" si="0"/>
        <v/>
      </c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 t="str">
        <f>IF(A55="","",IFERROR(INDEX(Пользовательские_сценарии!$O$5:$O$304,MATCH(E55,Пользовательские_сценарии!$A$5:$A$304,0)),0))</f>
        <v/>
      </c>
      <c r="R55" s="2"/>
      <c r="S55" s="2"/>
      <c r="T55" s="4" t="str">
        <f t="shared" si="0"/>
        <v/>
      </c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 t="str">
        <f>IF(A56="","",IFERROR(INDEX(Пользовательские_сценарии!$O$5:$O$304,MATCH(E56,Пользовательские_сценарии!$A$5:$A$304,0)),0))</f>
        <v/>
      </c>
      <c r="R56" s="2"/>
      <c r="S56" s="2"/>
      <c r="T56" s="4" t="str">
        <f t="shared" si="0"/>
        <v/>
      </c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 t="str">
        <f>IF(A57="","",IFERROR(INDEX(Пользовательские_сценарии!$O$5:$O$304,MATCH(E57,Пользовательские_сценарии!$A$5:$A$304,0)),0))</f>
        <v/>
      </c>
      <c r="R57" s="2"/>
      <c r="S57" s="2"/>
      <c r="T57" s="4" t="str">
        <f t="shared" si="0"/>
        <v/>
      </c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 t="str">
        <f>IF(A58="","",IFERROR(INDEX(Пользовательские_сценарии!$O$5:$O$304,MATCH(E58,Пользовательские_сценарии!$A$5:$A$304,0)),0))</f>
        <v/>
      </c>
      <c r="R58" s="2"/>
      <c r="S58" s="2"/>
      <c r="T58" s="4" t="str">
        <f t="shared" si="0"/>
        <v/>
      </c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 t="str">
        <f>IF(A59="","",IFERROR(INDEX(Пользовательские_сценарии!$O$5:$O$304,MATCH(E59,Пользовательские_сценарии!$A$5:$A$304,0)),0))</f>
        <v/>
      </c>
      <c r="R59" s="2"/>
      <c r="S59" s="2"/>
      <c r="T59" s="4" t="str">
        <f t="shared" si="0"/>
        <v/>
      </c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 t="str">
        <f>IF(A60="","",IFERROR(INDEX(Пользовательские_сценарии!$O$5:$O$304,MATCH(E60,Пользовательские_сценарии!$A$5:$A$304,0)),0))</f>
        <v/>
      </c>
      <c r="R60" s="2"/>
      <c r="S60" s="2"/>
      <c r="T60" s="4" t="str">
        <f t="shared" si="0"/>
        <v/>
      </c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 t="str">
        <f>IF(A61="","",IFERROR(INDEX(Пользовательские_сценарии!$O$5:$O$304,MATCH(E61,Пользовательские_сценарии!$A$5:$A$304,0)),0))</f>
        <v/>
      </c>
      <c r="R61" s="2"/>
      <c r="S61" s="2"/>
      <c r="T61" s="4" t="str">
        <f t="shared" si="0"/>
        <v/>
      </c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 t="str">
        <f>IF(A62="","",IFERROR(INDEX(Пользовательские_сценарии!$O$5:$O$304,MATCH(E62,Пользовательские_сценарии!$A$5:$A$304,0)),0))</f>
        <v/>
      </c>
      <c r="R62" s="2"/>
      <c r="S62" s="2"/>
      <c r="T62" s="4" t="str">
        <f t="shared" si="0"/>
        <v/>
      </c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 t="str">
        <f>IF(A63="","",IFERROR(INDEX(Пользовательские_сценарии!$O$5:$O$304,MATCH(E63,Пользовательские_сценарии!$A$5:$A$304,0)),0))</f>
        <v/>
      </c>
      <c r="R63" s="2"/>
      <c r="S63" s="2"/>
      <c r="T63" s="4" t="str">
        <f t="shared" si="0"/>
        <v/>
      </c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 t="str">
        <f>IF(A64="","",IFERROR(INDEX(Пользовательские_сценарии!$O$5:$O$304,MATCH(E64,Пользовательские_сценарии!$A$5:$A$304,0)),0))</f>
        <v/>
      </c>
      <c r="R64" s="2"/>
      <c r="S64" s="2"/>
      <c r="T64" s="4" t="str">
        <f t="shared" si="0"/>
        <v/>
      </c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 t="str">
        <f>IF(A65="","",IFERROR(INDEX(Пользовательские_сценарии!$O$5:$O$304,MATCH(E65,Пользовательские_сценарии!$A$5:$A$304,0)),0))</f>
        <v/>
      </c>
      <c r="R65" s="2"/>
      <c r="S65" s="2"/>
      <c r="T65" s="4" t="str">
        <f t="shared" si="0"/>
        <v/>
      </c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 t="str">
        <f>IF(A66="","",IFERROR(INDEX(Пользовательские_сценарии!$O$5:$O$304,MATCH(E66,Пользовательские_сценарии!$A$5:$A$304,0)),0))</f>
        <v/>
      </c>
      <c r="R66" s="2"/>
      <c r="S66" s="2"/>
      <c r="T66" s="4" t="str">
        <f t="shared" si="0"/>
        <v/>
      </c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 t="str">
        <f>IF(A67="","",IFERROR(INDEX(Пользовательские_сценарии!$O$5:$O$304,MATCH(E67,Пользовательские_сценарии!$A$5:$A$304,0)),0))</f>
        <v/>
      </c>
      <c r="R67" s="2"/>
      <c r="S67" s="2"/>
      <c r="T67" s="4" t="str">
        <f t="shared" si="0"/>
        <v/>
      </c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 t="str">
        <f>IF(A68="","",IFERROR(INDEX(Пользовательские_сценарии!$O$5:$O$304,MATCH(E68,Пользовательские_сценарии!$A$5:$A$304,0)),0))</f>
        <v/>
      </c>
      <c r="R68" s="2"/>
      <c r="S68" s="2"/>
      <c r="T68" s="4" t="str">
        <f t="shared" si="0"/>
        <v/>
      </c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 t="str">
        <f>IF(A69="","",IFERROR(INDEX(Пользовательские_сценарии!$O$5:$O$304,MATCH(E69,Пользовательские_сценарии!$A$5:$A$304,0)),0))</f>
        <v/>
      </c>
      <c r="R69" s="2"/>
      <c r="S69" s="2"/>
      <c r="T69" s="4" t="str">
        <f t="shared" ref="T69:T132" si="1">IF(A69="","",ROUND(COUNTA(D69:P69)/13,2))</f>
        <v/>
      </c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 t="str">
        <f>IF(A70="","",IFERROR(INDEX(Пользовательские_сценарии!$O$5:$O$304,MATCH(E70,Пользовательские_сценарии!$A$5:$A$304,0)),0))</f>
        <v/>
      </c>
      <c r="R70" s="2"/>
      <c r="S70" s="2"/>
      <c r="T70" s="4" t="str">
        <f t="shared" si="1"/>
        <v/>
      </c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 t="str">
        <f>IF(A71="","",IFERROR(INDEX(Пользовательские_сценарии!$O$5:$O$304,MATCH(E71,Пользовательские_сценарии!$A$5:$A$304,0)),0))</f>
        <v/>
      </c>
      <c r="R71" s="2"/>
      <c r="S71" s="2"/>
      <c r="T71" s="4" t="str">
        <f t="shared" si="1"/>
        <v/>
      </c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 t="str">
        <f>IF(A72="","",IFERROR(INDEX(Пользовательские_сценарии!$O$5:$O$304,MATCH(E72,Пользовательские_сценарии!$A$5:$A$304,0)),0))</f>
        <v/>
      </c>
      <c r="R72" s="2"/>
      <c r="S72" s="2"/>
      <c r="T72" s="4" t="str">
        <f t="shared" si="1"/>
        <v/>
      </c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 t="str">
        <f>IF(A73="","",IFERROR(INDEX(Пользовательские_сценарии!$O$5:$O$304,MATCH(E73,Пользовательские_сценарии!$A$5:$A$304,0)),0))</f>
        <v/>
      </c>
      <c r="R73" s="2"/>
      <c r="S73" s="2"/>
      <c r="T73" s="4" t="str">
        <f t="shared" si="1"/>
        <v/>
      </c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 t="str">
        <f>IF(A74="","",IFERROR(INDEX(Пользовательские_сценарии!$O$5:$O$304,MATCH(E74,Пользовательские_сценарии!$A$5:$A$304,0)),0))</f>
        <v/>
      </c>
      <c r="R74" s="2"/>
      <c r="S74" s="2"/>
      <c r="T74" s="4" t="str">
        <f t="shared" si="1"/>
        <v/>
      </c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 t="str">
        <f>IF(A75="","",IFERROR(INDEX(Пользовательские_сценарии!$O$5:$O$304,MATCH(E75,Пользовательские_сценарии!$A$5:$A$304,0)),0))</f>
        <v/>
      </c>
      <c r="R75" s="2"/>
      <c r="S75" s="2"/>
      <c r="T75" s="4" t="str">
        <f t="shared" si="1"/>
        <v/>
      </c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 t="str">
        <f>IF(A76="","",IFERROR(INDEX(Пользовательские_сценарии!$O$5:$O$304,MATCH(E76,Пользовательские_сценарии!$A$5:$A$304,0)),0))</f>
        <v/>
      </c>
      <c r="R76" s="2"/>
      <c r="S76" s="2"/>
      <c r="T76" s="4" t="str">
        <f t="shared" si="1"/>
        <v/>
      </c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 t="str">
        <f>IF(A77="","",IFERROR(INDEX(Пользовательские_сценарии!$O$5:$O$304,MATCH(E77,Пользовательские_сценарии!$A$5:$A$304,0)),0))</f>
        <v/>
      </c>
      <c r="R77" s="2"/>
      <c r="S77" s="2"/>
      <c r="T77" s="4" t="str">
        <f t="shared" si="1"/>
        <v/>
      </c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 t="str">
        <f>IF(A78="","",IFERROR(INDEX(Пользовательские_сценарии!$O$5:$O$304,MATCH(E78,Пользовательские_сценарии!$A$5:$A$304,0)),0))</f>
        <v/>
      </c>
      <c r="R78" s="2"/>
      <c r="S78" s="2"/>
      <c r="T78" s="4" t="str">
        <f t="shared" si="1"/>
        <v/>
      </c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 t="str">
        <f>IF(A79="","",IFERROR(INDEX(Пользовательские_сценарии!$O$5:$O$304,MATCH(E79,Пользовательские_сценарии!$A$5:$A$304,0)),0))</f>
        <v/>
      </c>
      <c r="R79" s="2"/>
      <c r="S79" s="2"/>
      <c r="T79" s="4" t="str">
        <f t="shared" si="1"/>
        <v/>
      </c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 t="str">
        <f>IF(A80="","",IFERROR(INDEX(Пользовательские_сценарии!$O$5:$O$304,MATCH(E80,Пользовательские_сценарии!$A$5:$A$304,0)),0))</f>
        <v/>
      </c>
      <c r="R80" s="2"/>
      <c r="S80" s="2"/>
      <c r="T80" s="4" t="str">
        <f t="shared" si="1"/>
        <v/>
      </c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 t="str">
        <f>IF(A81="","",IFERROR(INDEX(Пользовательские_сценарии!$O$5:$O$304,MATCH(E81,Пользовательские_сценарии!$A$5:$A$304,0)),0))</f>
        <v/>
      </c>
      <c r="R81" s="2"/>
      <c r="S81" s="2"/>
      <c r="T81" s="4" t="str">
        <f t="shared" si="1"/>
        <v/>
      </c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 t="str">
        <f>IF(A82="","",IFERROR(INDEX(Пользовательские_сценарии!$O$5:$O$304,MATCH(E82,Пользовательские_сценарии!$A$5:$A$304,0)),0))</f>
        <v/>
      </c>
      <c r="R82" s="2"/>
      <c r="S82" s="2"/>
      <c r="T82" s="4" t="str">
        <f t="shared" si="1"/>
        <v/>
      </c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 t="str">
        <f>IF(A83="","",IFERROR(INDEX(Пользовательские_сценарии!$O$5:$O$304,MATCH(E83,Пользовательские_сценарии!$A$5:$A$304,0)),0))</f>
        <v/>
      </c>
      <c r="R83" s="2"/>
      <c r="S83" s="2"/>
      <c r="T83" s="4" t="str">
        <f t="shared" si="1"/>
        <v/>
      </c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 t="str">
        <f>IF(A84="","",IFERROR(INDEX(Пользовательские_сценарии!$O$5:$O$304,MATCH(E84,Пользовательские_сценарии!$A$5:$A$304,0)),0))</f>
        <v/>
      </c>
      <c r="R84" s="2"/>
      <c r="S84" s="2"/>
      <c r="T84" s="4" t="str">
        <f t="shared" si="1"/>
        <v/>
      </c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 t="str">
        <f>IF(A85="","",IFERROR(INDEX(Пользовательские_сценарии!$O$5:$O$304,MATCH(E85,Пользовательские_сценарии!$A$5:$A$304,0)),0))</f>
        <v/>
      </c>
      <c r="R85" s="2"/>
      <c r="S85" s="2"/>
      <c r="T85" s="4" t="str">
        <f t="shared" si="1"/>
        <v/>
      </c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 t="str">
        <f>IF(A86="","",IFERROR(INDEX(Пользовательские_сценарии!$O$5:$O$304,MATCH(E86,Пользовательские_сценарии!$A$5:$A$304,0)),0))</f>
        <v/>
      </c>
      <c r="R86" s="2"/>
      <c r="S86" s="2"/>
      <c r="T86" s="4" t="str">
        <f t="shared" si="1"/>
        <v/>
      </c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 t="str">
        <f>IF(A87="","",IFERROR(INDEX(Пользовательские_сценарии!$O$5:$O$304,MATCH(E87,Пользовательские_сценарии!$A$5:$A$304,0)),0))</f>
        <v/>
      </c>
      <c r="R87" s="2"/>
      <c r="S87" s="2"/>
      <c r="T87" s="4" t="str">
        <f t="shared" si="1"/>
        <v/>
      </c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 t="str">
        <f>IF(A88="","",IFERROR(INDEX(Пользовательские_сценарии!$O$5:$O$304,MATCH(E88,Пользовательские_сценарии!$A$5:$A$304,0)),0))</f>
        <v/>
      </c>
      <c r="R88" s="2"/>
      <c r="S88" s="2"/>
      <c r="T88" s="4" t="str">
        <f t="shared" si="1"/>
        <v/>
      </c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 t="str">
        <f>IF(A89="","",IFERROR(INDEX(Пользовательские_сценарии!$O$5:$O$304,MATCH(E89,Пользовательские_сценарии!$A$5:$A$304,0)),0))</f>
        <v/>
      </c>
      <c r="R89" s="2"/>
      <c r="S89" s="2"/>
      <c r="T89" s="4" t="str">
        <f t="shared" si="1"/>
        <v/>
      </c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 t="str">
        <f>IF(A90="","",IFERROR(INDEX(Пользовательские_сценарии!$O$5:$O$304,MATCH(E90,Пользовательские_сценарии!$A$5:$A$304,0)),0))</f>
        <v/>
      </c>
      <c r="R90" s="2"/>
      <c r="S90" s="2"/>
      <c r="T90" s="4" t="str">
        <f t="shared" si="1"/>
        <v/>
      </c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 t="str">
        <f>IF(A91="","",IFERROR(INDEX(Пользовательские_сценарии!$O$5:$O$304,MATCH(E91,Пользовательские_сценарии!$A$5:$A$304,0)),0))</f>
        <v/>
      </c>
      <c r="R91" s="2"/>
      <c r="S91" s="2"/>
      <c r="T91" s="4" t="str">
        <f t="shared" si="1"/>
        <v/>
      </c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 t="str">
        <f>IF(A92="","",IFERROR(INDEX(Пользовательские_сценарии!$O$5:$O$304,MATCH(E92,Пользовательские_сценарии!$A$5:$A$304,0)),0))</f>
        <v/>
      </c>
      <c r="R92" s="2"/>
      <c r="S92" s="2"/>
      <c r="T92" s="4" t="str">
        <f t="shared" si="1"/>
        <v/>
      </c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 t="str">
        <f>IF(A93="","",IFERROR(INDEX(Пользовательские_сценарии!$O$5:$O$304,MATCH(E93,Пользовательские_сценарии!$A$5:$A$304,0)),0))</f>
        <v/>
      </c>
      <c r="R93" s="2"/>
      <c r="S93" s="2"/>
      <c r="T93" s="4" t="str">
        <f t="shared" si="1"/>
        <v/>
      </c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 t="str">
        <f>IF(A94="","",IFERROR(INDEX(Пользовательские_сценарии!$O$5:$O$304,MATCH(E94,Пользовательские_сценарии!$A$5:$A$304,0)),0))</f>
        <v/>
      </c>
      <c r="R94" s="2"/>
      <c r="S94" s="2"/>
      <c r="T94" s="4" t="str">
        <f t="shared" si="1"/>
        <v/>
      </c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 t="str">
        <f>IF(A95="","",IFERROR(INDEX(Пользовательские_сценарии!$O$5:$O$304,MATCH(E95,Пользовательские_сценарии!$A$5:$A$304,0)),0))</f>
        <v/>
      </c>
      <c r="R95" s="2"/>
      <c r="S95" s="2"/>
      <c r="T95" s="4" t="str">
        <f t="shared" si="1"/>
        <v/>
      </c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 t="str">
        <f>IF(A96="","",IFERROR(INDEX(Пользовательские_сценарии!$O$5:$O$304,MATCH(E96,Пользовательские_сценарии!$A$5:$A$304,0)),0))</f>
        <v/>
      </c>
      <c r="R96" s="2"/>
      <c r="S96" s="2"/>
      <c r="T96" s="4" t="str">
        <f t="shared" si="1"/>
        <v/>
      </c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 t="str">
        <f>IF(A97="","",IFERROR(INDEX(Пользовательские_сценарии!$O$5:$O$304,MATCH(E97,Пользовательские_сценарии!$A$5:$A$304,0)),0))</f>
        <v/>
      </c>
      <c r="R97" s="2"/>
      <c r="S97" s="2"/>
      <c r="T97" s="4" t="str">
        <f t="shared" si="1"/>
        <v/>
      </c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 t="str">
        <f>IF(A98="","",IFERROR(INDEX(Пользовательские_сценарии!$O$5:$O$304,MATCH(E98,Пользовательские_сценарии!$A$5:$A$304,0)),0))</f>
        <v/>
      </c>
      <c r="R98" s="2"/>
      <c r="S98" s="2"/>
      <c r="T98" s="4" t="str">
        <f t="shared" si="1"/>
        <v/>
      </c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 t="str">
        <f>IF(A99="","",IFERROR(INDEX(Пользовательские_сценарии!$O$5:$O$304,MATCH(E99,Пользовательские_сценарии!$A$5:$A$304,0)),0))</f>
        <v/>
      </c>
      <c r="R99" s="2"/>
      <c r="S99" s="2"/>
      <c r="T99" s="4" t="str">
        <f t="shared" si="1"/>
        <v/>
      </c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 t="str">
        <f>IF(A100="","",IFERROR(INDEX(Пользовательские_сценарии!$O$5:$O$304,MATCH(E100,Пользовательские_сценарии!$A$5:$A$304,0)),0))</f>
        <v/>
      </c>
      <c r="R100" s="2"/>
      <c r="S100" s="2"/>
      <c r="T100" s="4" t="str">
        <f t="shared" si="1"/>
        <v/>
      </c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 t="str">
        <f>IF(A101="","",IFERROR(INDEX(Пользовательские_сценарии!$O$5:$O$304,MATCH(E101,Пользовательские_сценарии!$A$5:$A$304,0)),0))</f>
        <v/>
      </c>
      <c r="R101" s="2"/>
      <c r="S101" s="2"/>
      <c r="T101" s="4" t="str">
        <f t="shared" si="1"/>
        <v/>
      </c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 t="str">
        <f>IF(A102="","",IFERROR(INDEX(Пользовательские_сценарии!$O$5:$O$304,MATCH(E102,Пользовательские_сценарии!$A$5:$A$304,0)),0))</f>
        <v/>
      </c>
      <c r="R102" s="2"/>
      <c r="S102" s="2"/>
      <c r="T102" s="4" t="str">
        <f t="shared" si="1"/>
        <v/>
      </c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 t="str">
        <f>IF(A103="","",IFERROR(INDEX(Пользовательские_сценарии!$O$5:$O$304,MATCH(E103,Пользовательские_сценарии!$A$5:$A$304,0)),0))</f>
        <v/>
      </c>
      <c r="R103" s="2"/>
      <c r="S103" s="2"/>
      <c r="T103" s="4" t="str">
        <f t="shared" si="1"/>
        <v/>
      </c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 t="str">
        <f>IF(A104="","",IFERROR(INDEX(Пользовательские_сценарии!$O$5:$O$304,MATCH(E104,Пользовательские_сценарии!$A$5:$A$304,0)),0))</f>
        <v/>
      </c>
      <c r="R104" s="2"/>
      <c r="S104" s="2"/>
      <c r="T104" s="4" t="str">
        <f t="shared" si="1"/>
        <v/>
      </c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 t="str">
        <f>IF(A105="","",IFERROR(INDEX(Пользовательские_сценарии!$O$5:$O$304,MATCH(E105,Пользовательские_сценарии!$A$5:$A$304,0)),0))</f>
        <v/>
      </c>
      <c r="R105" s="2"/>
      <c r="S105" s="2"/>
      <c r="T105" s="4" t="str">
        <f t="shared" si="1"/>
        <v/>
      </c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 t="str">
        <f>IF(A106="","",IFERROR(INDEX(Пользовательские_сценарии!$O$5:$O$304,MATCH(E106,Пользовательские_сценарии!$A$5:$A$304,0)),0))</f>
        <v/>
      </c>
      <c r="R106" s="2"/>
      <c r="S106" s="2"/>
      <c r="T106" s="4" t="str">
        <f t="shared" si="1"/>
        <v/>
      </c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 t="str">
        <f>IF(A107="","",IFERROR(INDEX(Пользовательские_сценарии!$O$5:$O$304,MATCH(E107,Пользовательские_сценарии!$A$5:$A$304,0)),0))</f>
        <v/>
      </c>
      <c r="R107" s="2"/>
      <c r="S107" s="2"/>
      <c r="T107" s="4" t="str">
        <f t="shared" si="1"/>
        <v/>
      </c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 t="str">
        <f>IF(A108="","",IFERROR(INDEX(Пользовательские_сценарии!$O$5:$O$304,MATCH(E108,Пользовательские_сценарии!$A$5:$A$304,0)),0))</f>
        <v/>
      </c>
      <c r="R108" s="2"/>
      <c r="S108" s="2"/>
      <c r="T108" s="4" t="str">
        <f t="shared" si="1"/>
        <v/>
      </c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 t="str">
        <f>IF(A109="","",IFERROR(INDEX(Пользовательские_сценарии!$O$5:$O$304,MATCH(E109,Пользовательские_сценарии!$A$5:$A$304,0)),0))</f>
        <v/>
      </c>
      <c r="R109" s="2"/>
      <c r="S109" s="2"/>
      <c r="T109" s="4" t="str">
        <f t="shared" si="1"/>
        <v/>
      </c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 t="str">
        <f>IF(A110="","",IFERROR(INDEX(Пользовательские_сценарии!$O$5:$O$304,MATCH(E110,Пользовательские_сценарии!$A$5:$A$304,0)),0))</f>
        <v/>
      </c>
      <c r="R110" s="2"/>
      <c r="S110" s="2"/>
      <c r="T110" s="4" t="str">
        <f t="shared" si="1"/>
        <v/>
      </c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 t="str">
        <f>IF(A111="","",IFERROR(INDEX(Пользовательские_сценарии!$O$5:$O$304,MATCH(E111,Пользовательские_сценарии!$A$5:$A$304,0)),0))</f>
        <v/>
      </c>
      <c r="R111" s="2"/>
      <c r="S111" s="2"/>
      <c r="T111" s="4" t="str">
        <f t="shared" si="1"/>
        <v/>
      </c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 t="str">
        <f>IF(A112="","",IFERROR(INDEX(Пользовательские_сценарии!$O$5:$O$304,MATCH(E112,Пользовательские_сценарии!$A$5:$A$304,0)),0))</f>
        <v/>
      </c>
      <c r="R112" s="2"/>
      <c r="S112" s="2"/>
      <c r="T112" s="4" t="str">
        <f t="shared" si="1"/>
        <v/>
      </c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 t="str">
        <f>IF(A113="","",IFERROR(INDEX(Пользовательские_сценарии!$O$5:$O$304,MATCH(E113,Пользовательские_сценарии!$A$5:$A$304,0)),0))</f>
        <v/>
      </c>
      <c r="R113" s="2"/>
      <c r="S113" s="2"/>
      <c r="T113" s="4" t="str">
        <f t="shared" si="1"/>
        <v/>
      </c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 t="str">
        <f>IF(A114="","",IFERROR(INDEX(Пользовательские_сценарии!$O$5:$O$304,MATCH(E114,Пользовательские_сценарии!$A$5:$A$304,0)),0))</f>
        <v/>
      </c>
      <c r="R114" s="2"/>
      <c r="S114" s="2"/>
      <c r="T114" s="4" t="str">
        <f t="shared" si="1"/>
        <v/>
      </c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 t="str">
        <f>IF(A115="","",IFERROR(INDEX(Пользовательские_сценарии!$O$5:$O$304,MATCH(E115,Пользовательские_сценарии!$A$5:$A$304,0)),0))</f>
        <v/>
      </c>
      <c r="R115" s="2"/>
      <c r="S115" s="2"/>
      <c r="T115" s="4" t="str">
        <f t="shared" si="1"/>
        <v/>
      </c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 t="str">
        <f>IF(A116="","",IFERROR(INDEX(Пользовательские_сценарии!$O$5:$O$304,MATCH(E116,Пользовательские_сценарии!$A$5:$A$304,0)),0))</f>
        <v/>
      </c>
      <c r="R116" s="2"/>
      <c r="S116" s="2"/>
      <c r="T116" s="4" t="str">
        <f t="shared" si="1"/>
        <v/>
      </c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 t="str">
        <f>IF(A117="","",IFERROR(INDEX(Пользовательские_сценарии!$O$5:$O$304,MATCH(E117,Пользовательские_сценарии!$A$5:$A$304,0)),0))</f>
        <v/>
      </c>
      <c r="R117" s="2"/>
      <c r="S117" s="2"/>
      <c r="T117" s="4" t="str">
        <f t="shared" si="1"/>
        <v/>
      </c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 t="str">
        <f>IF(A118="","",IFERROR(INDEX(Пользовательские_сценарии!$O$5:$O$304,MATCH(E118,Пользовательские_сценарии!$A$5:$A$304,0)),0))</f>
        <v/>
      </c>
      <c r="R118" s="2"/>
      <c r="S118" s="2"/>
      <c r="T118" s="4" t="str">
        <f t="shared" si="1"/>
        <v/>
      </c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 t="str">
        <f>IF(A119="","",IFERROR(INDEX(Пользовательские_сценарии!$O$5:$O$304,MATCH(E119,Пользовательские_сценарии!$A$5:$A$304,0)),0))</f>
        <v/>
      </c>
      <c r="R119" s="2"/>
      <c r="S119" s="2"/>
      <c r="T119" s="4" t="str">
        <f t="shared" si="1"/>
        <v/>
      </c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 t="str">
        <f>IF(A120="","",IFERROR(INDEX(Пользовательские_сценарии!$O$5:$O$304,MATCH(E120,Пользовательские_сценарии!$A$5:$A$304,0)),0))</f>
        <v/>
      </c>
      <c r="R120" s="2"/>
      <c r="S120" s="2"/>
      <c r="T120" s="4" t="str">
        <f t="shared" si="1"/>
        <v/>
      </c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 t="str">
        <f>IF(A121="","",IFERROR(INDEX(Пользовательские_сценарии!$O$5:$O$304,MATCH(E121,Пользовательские_сценарии!$A$5:$A$304,0)),0))</f>
        <v/>
      </c>
      <c r="R121" s="2"/>
      <c r="S121" s="2"/>
      <c r="T121" s="4" t="str">
        <f t="shared" si="1"/>
        <v/>
      </c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 t="str">
        <f>IF(A122="","",IFERROR(INDEX(Пользовательские_сценарии!$O$5:$O$304,MATCH(E122,Пользовательские_сценарии!$A$5:$A$304,0)),0))</f>
        <v/>
      </c>
      <c r="R122" s="2"/>
      <c r="S122" s="2"/>
      <c r="T122" s="4" t="str">
        <f t="shared" si="1"/>
        <v/>
      </c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 t="str">
        <f>IF(A123="","",IFERROR(INDEX(Пользовательские_сценарии!$O$5:$O$304,MATCH(E123,Пользовательские_сценарии!$A$5:$A$304,0)),0))</f>
        <v/>
      </c>
      <c r="R123" s="2"/>
      <c r="S123" s="2"/>
      <c r="T123" s="4" t="str">
        <f t="shared" si="1"/>
        <v/>
      </c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 t="str">
        <f>IF(A124="","",IFERROR(INDEX(Пользовательские_сценарии!$O$5:$O$304,MATCH(E124,Пользовательские_сценарии!$A$5:$A$304,0)),0))</f>
        <v/>
      </c>
      <c r="R124" s="2"/>
      <c r="S124" s="2"/>
      <c r="T124" s="4" t="str">
        <f t="shared" si="1"/>
        <v/>
      </c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 t="str">
        <f>IF(A125="","",IFERROR(INDEX(Пользовательские_сценарии!$O$5:$O$304,MATCH(E125,Пользовательские_сценарии!$A$5:$A$304,0)),0))</f>
        <v/>
      </c>
      <c r="R125" s="2"/>
      <c r="S125" s="2"/>
      <c r="T125" s="4" t="str">
        <f t="shared" si="1"/>
        <v/>
      </c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 t="str">
        <f>IF(A126="","",IFERROR(INDEX(Пользовательские_сценарии!$O$5:$O$304,MATCH(E126,Пользовательские_сценарии!$A$5:$A$304,0)),0))</f>
        <v/>
      </c>
      <c r="R126" s="2"/>
      <c r="S126" s="2"/>
      <c r="T126" s="4" t="str">
        <f t="shared" si="1"/>
        <v/>
      </c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 t="str">
        <f>IF(A127="","",IFERROR(INDEX(Пользовательские_сценарии!$O$5:$O$304,MATCH(E127,Пользовательские_сценарии!$A$5:$A$304,0)),0))</f>
        <v/>
      </c>
      <c r="R127" s="2"/>
      <c r="S127" s="2"/>
      <c r="T127" s="4" t="str">
        <f t="shared" si="1"/>
        <v/>
      </c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 t="str">
        <f>IF(A128="","",IFERROR(INDEX(Пользовательские_сценарии!$O$5:$O$304,MATCH(E128,Пользовательские_сценарии!$A$5:$A$304,0)),0))</f>
        <v/>
      </c>
      <c r="R128" s="2"/>
      <c r="S128" s="2"/>
      <c r="T128" s="4" t="str">
        <f t="shared" si="1"/>
        <v/>
      </c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 t="str">
        <f>IF(A129="","",IFERROR(INDEX(Пользовательские_сценарии!$O$5:$O$304,MATCH(E129,Пользовательские_сценарии!$A$5:$A$304,0)),0))</f>
        <v/>
      </c>
      <c r="R129" s="2"/>
      <c r="S129" s="2"/>
      <c r="T129" s="4" t="str">
        <f t="shared" si="1"/>
        <v/>
      </c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 t="str">
        <f>IF(A130="","",IFERROR(INDEX(Пользовательские_сценарии!$O$5:$O$304,MATCH(E130,Пользовательские_сценарии!$A$5:$A$304,0)),0))</f>
        <v/>
      </c>
      <c r="R130" s="2"/>
      <c r="S130" s="2"/>
      <c r="T130" s="4" t="str">
        <f t="shared" si="1"/>
        <v/>
      </c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 t="str">
        <f>IF(A131="","",IFERROR(INDEX(Пользовательские_сценарии!$O$5:$O$304,MATCH(E131,Пользовательские_сценарии!$A$5:$A$304,0)),0))</f>
        <v/>
      </c>
      <c r="R131" s="2"/>
      <c r="S131" s="2"/>
      <c r="T131" s="4" t="str">
        <f t="shared" si="1"/>
        <v/>
      </c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 t="str">
        <f>IF(A132="","",IFERROR(INDEX(Пользовательские_сценарии!$O$5:$O$304,MATCH(E132,Пользовательские_сценарии!$A$5:$A$304,0)),0))</f>
        <v/>
      </c>
      <c r="R132" s="2"/>
      <c r="S132" s="2"/>
      <c r="T132" s="4" t="str">
        <f t="shared" si="1"/>
        <v/>
      </c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 t="str">
        <f>IF(A133="","",IFERROR(INDEX(Пользовательские_сценарии!$O$5:$O$304,MATCH(E133,Пользовательские_сценарии!$A$5:$A$304,0)),0))</f>
        <v/>
      </c>
      <c r="R133" s="2"/>
      <c r="S133" s="2"/>
      <c r="T133" s="4" t="str">
        <f t="shared" ref="T133:T196" si="2">IF(A133="","",ROUND(COUNTA(D133:P133)/13,2))</f>
        <v/>
      </c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 t="str">
        <f>IF(A134="","",IFERROR(INDEX(Пользовательские_сценарии!$O$5:$O$304,MATCH(E134,Пользовательские_сценарии!$A$5:$A$304,0)),0))</f>
        <v/>
      </c>
      <c r="R134" s="2"/>
      <c r="S134" s="2"/>
      <c r="T134" s="4" t="str">
        <f t="shared" si="2"/>
        <v/>
      </c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 t="str">
        <f>IF(A135="","",IFERROR(INDEX(Пользовательские_сценарии!$O$5:$O$304,MATCH(E135,Пользовательские_сценарии!$A$5:$A$304,0)),0))</f>
        <v/>
      </c>
      <c r="R135" s="2"/>
      <c r="S135" s="2"/>
      <c r="T135" s="4" t="str">
        <f t="shared" si="2"/>
        <v/>
      </c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 t="str">
        <f>IF(A136="","",IFERROR(INDEX(Пользовательские_сценарии!$O$5:$O$304,MATCH(E136,Пользовательские_сценарии!$A$5:$A$304,0)),0))</f>
        <v/>
      </c>
      <c r="R136" s="2"/>
      <c r="S136" s="2"/>
      <c r="T136" s="4" t="str">
        <f t="shared" si="2"/>
        <v/>
      </c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 t="str">
        <f>IF(A137="","",IFERROR(INDEX(Пользовательские_сценарии!$O$5:$O$304,MATCH(E137,Пользовательские_сценарии!$A$5:$A$304,0)),0))</f>
        <v/>
      </c>
      <c r="R137" s="2"/>
      <c r="S137" s="2"/>
      <c r="T137" s="4" t="str">
        <f t="shared" si="2"/>
        <v/>
      </c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 t="str">
        <f>IF(A138="","",IFERROR(INDEX(Пользовательские_сценарии!$O$5:$O$304,MATCH(E138,Пользовательские_сценарии!$A$5:$A$304,0)),0))</f>
        <v/>
      </c>
      <c r="R138" s="2"/>
      <c r="S138" s="2"/>
      <c r="T138" s="4" t="str">
        <f t="shared" si="2"/>
        <v/>
      </c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 t="str">
        <f>IF(A139="","",IFERROR(INDEX(Пользовательские_сценарии!$O$5:$O$304,MATCH(E139,Пользовательские_сценарии!$A$5:$A$304,0)),0))</f>
        <v/>
      </c>
      <c r="R139" s="2"/>
      <c r="S139" s="2"/>
      <c r="T139" s="4" t="str">
        <f t="shared" si="2"/>
        <v/>
      </c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 t="str">
        <f>IF(A140="","",IFERROR(INDEX(Пользовательские_сценарии!$O$5:$O$304,MATCH(E140,Пользовательские_сценарии!$A$5:$A$304,0)),0))</f>
        <v/>
      </c>
      <c r="R140" s="2"/>
      <c r="S140" s="2"/>
      <c r="T140" s="4" t="str">
        <f t="shared" si="2"/>
        <v/>
      </c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 t="str">
        <f>IF(A141="","",IFERROR(INDEX(Пользовательские_сценарии!$O$5:$O$304,MATCH(E141,Пользовательские_сценарии!$A$5:$A$304,0)),0))</f>
        <v/>
      </c>
      <c r="R141" s="2"/>
      <c r="S141" s="2"/>
      <c r="T141" s="4" t="str">
        <f t="shared" si="2"/>
        <v/>
      </c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 t="str">
        <f>IF(A142="","",IFERROR(INDEX(Пользовательские_сценарии!$O$5:$O$304,MATCH(E142,Пользовательские_сценарии!$A$5:$A$304,0)),0))</f>
        <v/>
      </c>
      <c r="R142" s="2"/>
      <c r="S142" s="2"/>
      <c r="T142" s="4" t="str">
        <f t="shared" si="2"/>
        <v/>
      </c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 t="str">
        <f>IF(A143="","",IFERROR(INDEX(Пользовательские_сценарии!$O$5:$O$304,MATCH(E143,Пользовательские_сценарии!$A$5:$A$304,0)),0))</f>
        <v/>
      </c>
      <c r="R143" s="2"/>
      <c r="S143" s="2"/>
      <c r="T143" s="4" t="str">
        <f t="shared" si="2"/>
        <v/>
      </c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 t="str">
        <f>IF(A144="","",IFERROR(INDEX(Пользовательские_сценарии!$O$5:$O$304,MATCH(E144,Пользовательские_сценарии!$A$5:$A$304,0)),0))</f>
        <v/>
      </c>
      <c r="R144" s="2"/>
      <c r="S144" s="2"/>
      <c r="T144" s="4" t="str">
        <f t="shared" si="2"/>
        <v/>
      </c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 t="str">
        <f>IF(A145="","",IFERROR(INDEX(Пользовательские_сценарии!$O$5:$O$304,MATCH(E145,Пользовательские_сценарии!$A$5:$A$304,0)),0))</f>
        <v/>
      </c>
      <c r="R145" s="2"/>
      <c r="S145" s="2"/>
      <c r="T145" s="4" t="str">
        <f t="shared" si="2"/>
        <v/>
      </c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 t="str">
        <f>IF(A146="","",IFERROR(INDEX(Пользовательские_сценарии!$O$5:$O$304,MATCH(E146,Пользовательские_сценарии!$A$5:$A$304,0)),0))</f>
        <v/>
      </c>
      <c r="R146" s="2"/>
      <c r="S146" s="2"/>
      <c r="T146" s="4" t="str">
        <f t="shared" si="2"/>
        <v/>
      </c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 t="str">
        <f>IF(A147="","",IFERROR(INDEX(Пользовательские_сценарии!$O$5:$O$304,MATCH(E147,Пользовательские_сценарии!$A$5:$A$304,0)),0))</f>
        <v/>
      </c>
      <c r="R147" s="2"/>
      <c r="S147" s="2"/>
      <c r="T147" s="4" t="str">
        <f t="shared" si="2"/>
        <v/>
      </c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 t="str">
        <f>IF(A148="","",IFERROR(INDEX(Пользовательские_сценарии!$O$5:$O$304,MATCH(E148,Пользовательские_сценарии!$A$5:$A$304,0)),0))</f>
        <v/>
      </c>
      <c r="R148" s="2"/>
      <c r="S148" s="2"/>
      <c r="T148" s="4" t="str">
        <f t="shared" si="2"/>
        <v/>
      </c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 t="str">
        <f>IF(A149="","",IFERROR(INDEX(Пользовательские_сценарии!$O$5:$O$304,MATCH(E149,Пользовательские_сценарии!$A$5:$A$304,0)),0))</f>
        <v/>
      </c>
      <c r="R149" s="2"/>
      <c r="S149" s="2"/>
      <c r="T149" s="4" t="str">
        <f t="shared" si="2"/>
        <v/>
      </c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 t="str">
        <f>IF(A150="","",IFERROR(INDEX(Пользовательские_сценарии!$O$5:$O$304,MATCH(E150,Пользовательские_сценарии!$A$5:$A$304,0)),0))</f>
        <v/>
      </c>
      <c r="R150" s="2"/>
      <c r="S150" s="2"/>
      <c r="T150" s="4" t="str">
        <f t="shared" si="2"/>
        <v/>
      </c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 t="str">
        <f>IF(A151="","",IFERROR(INDEX(Пользовательские_сценарии!$O$5:$O$304,MATCH(E151,Пользовательские_сценарии!$A$5:$A$304,0)),0))</f>
        <v/>
      </c>
      <c r="R151" s="2"/>
      <c r="S151" s="2"/>
      <c r="T151" s="4" t="str">
        <f t="shared" si="2"/>
        <v/>
      </c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 t="str">
        <f>IF(A152="","",IFERROR(INDEX(Пользовательские_сценарии!$O$5:$O$304,MATCH(E152,Пользовательские_сценарии!$A$5:$A$304,0)),0))</f>
        <v/>
      </c>
      <c r="R152" s="2"/>
      <c r="S152" s="2"/>
      <c r="T152" s="4" t="str">
        <f t="shared" si="2"/>
        <v/>
      </c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 t="str">
        <f>IF(A153="","",IFERROR(INDEX(Пользовательские_сценарии!$O$5:$O$304,MATCH(E153,Пользовательские_сценарии!$A$5:$A$304,0)),0))</f>
        <v/>
      </c>
      <c r="R153" s="2"/>
      <c r="S153" s="2"/>
      <c r="T153" s="4" t="str">
        <f t="shared" si="2"/>
        <v/>
      </c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 t="str">
        <f>IF(A154="","",IFERROR(INDEX(Пользовательские_сценарии!$O$5:$O$304,MATCH(E154,Пользовательские_сценарии!$A$5:$A$304,0)),0))</f>
        <v/>
      </c>
      <c r="R154" s="2"/>
      <c r="S154" s="2"/>
      <c r="T154" s="4" t="str">
        <f t="shared" si="2"/>
        <v/>
      </c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 t="str">
        <f>IF(A155="","",IFERROR(INDEX(Пользовательские_сценарии!$O$5:$O$304,MATCH(E155,Пользовательские_сценарии!$A$5:$A$304,0)),0))</f>
        <v/>
      </c>
      <c r="R155" s="2"/>
      <c r="S155" s="2"/>
      <c r="T155" s="4" t="str">
        <f t="shared" si="2"/>
        <v/>
      </c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 t="str">
        <f>IF(A156="","",IFERROR(INDEX(Пользовательские_сценарии!$O$5:$O$304,MATCH(E156,Пользовательские_сценарии!$A$5:$A$304,0)),0))</f>
        <v/>
      </c>
      <c r="R156" s="2"/>
      <c r="S156" s="2"/>
      <c r="T156" s="4" t="str">
        <f t="shared" si="2"/>
        <v/>
      </c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 t="str">
        <f>IF(A157="","",IFERROR(INDEX(Пользовательские_сценарии!$O$5:$O$304,MATCH(E157,Пользовательские_сценарии!$A$5:$A$304,0)),0))</f>
        <v/>
      </c>
      <c r="R157" s="2"/>
      <c r="S157" s="2"/>
      <c r="T157" s="4" t="str">
        <f t="shared" si="2"/>
        <v/>
      </c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 t="str">
        <f>IF(A158="","",IFERROR(INDEX(Пользовательские_сценарии!$O$5:$O$304,MATCH(E158,Пользовательские_сценарии!$A$5:$A$304,0)),0))</f>
        <v/>
      </c>
      <c r="R158" s="2"/>
      <c r="S158" s="2"/>
      <c r="T158" s="4" t="str">
        <f t="shared" si="2"/>
        <v/>
      </c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 t="str">
        <f>IF(A159="","",IFERROR(INDEX(Пользовательские_сценарии!$O$5:$O$304,MATCH(E159,Пользовательские_сценарии!$A$5:$A$304,0)),0))</f>
        <v/>
      </c>
      <c r="R159" s="2"/>
      <c r="S159" s="2"/>
      <c r="T159" s="4" t="str">
        <f t="shared" si="2"/>
        <v/>
      </c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 t="str">
        <f>IF(A160="","",IFERROR(INDEX(Пользовательские_сценарии!$O$5:$O$304,MATCH(E160,Пользовательские_сценарии!$A$5:$A$304,0)),0))</f>
        <v/>
      </c>
      <c r="R160" s="2"/>
      <c r="S160" s="2"/>
      <c r="T160" s="4" t="str">
        <f t="shared" si="2"/>
        <v/>
      </c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 t="str">
        <f>IF(A161="","",IFERROR(INDEX(Пользовательские_сценарии!$O$5:$O$304,MATCH(E161,Пользовательские_сценарии!$A$5:$A$304,0)),0))</f>
        <v/>
      </c>
      <c r="R161" s="2"/>
      <c r="S161" s="2"/>
      <c r="T161" s="4" t="str">
        <f t="shared" si="2"/>
        <v/>
      </c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 t="str">
        <f>IF(A162="","",IFERROR(INDEX(Пользовательские_сценарии!$O$5:$O$304,MATCH(E162,Пользовательские_сценарии!$A$5:$A$304,0)),0))</f>
        <v/>
      </c>
      <c r="R162" s="2"/>
      <c r="S162" s="2"/>
      <c r="T162" s="4" t="str">
        <f t="shared" si="2"/>
        <v/>
      </c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 t="str">
        <f>IF(A163="","",IFERROR(INDEX(Пользовательские_сценарии!$O$5:$O$304,MATCH(E163,Пользовательские_сценарии!$A$5:$A$304,0)),0))</f>
        <v/>
      </c>
      <c r="R163" s="2"/>
      <c r="S163" s="2"/>
      <c r="T163" s="4" t="str">
        <f t="shared" si="2"/>
        <v/>
      </c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 t="str">
        <f>IF(A164="","",IFERROR(INDEX(Пользовательские_сценарии!$O$5:$O$304,MATCH(E164,Пользовательские_сценарии!$A$5:$A$304,0)),0))</f>
        <v/>
      </c>
      <c r="R164" s="2"/>
      <c r="S164" s="2"/>
      <c r="T164" s="4" t="str">
        <f t="shared" si="2"/>
        <v/>
      </c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 t="str">
        <f>IF(A165="","",IFERROR(INDEX(Пользовательские_сценарии!$O$5:$O$304,MATCH(E165,Пользовательские_сценарии!$A$5:$A$304,0)),0))</f>
        <v/>
      </c>
      <c r="R165" s="2"/>
      <c r="S165" s="2"/>
      <c r="T165" s="4" t="str">
        <f t="shared" si="2"/>
        <v/>
      </c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 t="str">
        <f>IF(A166="","",IFERROR(INDEX(Пользовательские_сценарии!$O$5:$O$304,MATCH(E166,Пользовательские_сценарии!$A$5:$A$304,0)),0))</f>
        <v/>
      </c>
      <c r="R166" s="2"/>
      <c r="S166" s="2"/>
      <c r="T166" s="4" t="str">
        <f t="shared" si="2"/>
        <v/>
      </c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 t="str">
        <f>IF(A167="","",IFERROR(INDEX(Пользовательские_сценарии!$O$5:$O$304,MATCH(E167,Пользовательские_сценарии!$A$5:$A$304,0)),0))</f>
        <v/>
      </c>
      <c r="R167" s="2"/>
      <c r="S167" s="2"/>
      <c r="T167" s="4" t="str">
        <f t="shared" si="2"/>
        <v/>
      </c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 t="str">
        <f>IF(A168="","",IFERROR(INDEX(Пользовательские_сценарии!$O$5:$O$304,MATCH(E168,Пользовательские_сценарии!$A$5:$A$304,0)),0))</f>
        <v/>
      </c>
      <c r="R168" s="2"/>
      <c r="S168" s="2"/>
      <c r="T168" s="4" t="str">
        <f t="shared" si="2"/>
        <v/>
      </c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 t="str">
        <f>IF(A169="","",IFERROR(INDEX(Пользовательские_сценарии!$O$5:$O$304,MATCH(E169,Пользовательские_сценарии!$A$5:$A$304,0)),0))</f>
        <v/>
      </c>
      <c r="R169" s="2"/>
      <c r="S169" s="2"/>
      <c r="T169" s="4" t="str">
        <f t="shared" si="2"/>
        <v/>
      </c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 t="str">
        <f>IF(A170="","",IFERROR(INDEX(Пользовательские_сценарии!$O$5:$O$304,MATCH(E170,Пользовательские_сценарии!$A$5:$A$304,0)),0))</f>
        <v/>
      </c>
      <c r="R170" s="2"/>
      <c r="S170" s="2"/>
      <c r="T170" s="4" t="str">
        <f t="shared" si="2"/>
        <v/>
      </c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 t="str">
        <f>IF(A171="","",IFERROR(INDEX(Пользовательские_сценарии!$O$5:$O$304,MATCH(E171,Пользовательские_сценарии!$A$5:$A$304,0)),0))</f>
        <v/>
      </c>
      <c r="R171" s="2"/>
      <c r="S171" s="2"/>
      <c r="T171" s="4" t="str">
        <f t="shared" si="2"/>
        <v/>
      </c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 t="str">
        <f>IF(A172="","",IFERROR(INDEX(Пользовательские_сценарии!$O$5:$O$304,MATCH(E172,Пользовательские_сценарии!$A$5:$A$304,0)),0))</f>
        <v/>
      </c>
      <c r="R172" s="2"/>
      <c r="S172" s="2"/>
      <c r="T172" s="4" t="str">
        <f t="shared" si="2"/>
        <v/>
      </c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 t="str">
        <f>IF(A173="","",IFERROR(INDEX(Пользовательские_сценарии!$O$5:$O$304,MATCH(E173,Пользовательские_сценарии!$A$5:$A$304,0)),0))</f>
        <v/>
      </c>
      <c r="R173" s="2"/>
      <c r="S173" s="2"/>
      <c r="T173" s="4" t="str">
        <f t="shared" si="2"/>
        <v/>
      </c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 t="str">
        <f>IF(A174="","",IFERROR(INDEX(Пользовательские_сценарии!$O$5:$O$304,MATCH(E174,Пользовательские_сценарии!$A$5:$A$304,0)),0))</f>
        <v/>
      </c>
      <c r="R174" s="2"/>
      <c r="S174" s="2"/>
      <c r="T174" s="4" t="str">
        <f t="shared" si="2"/>
        <v/>
      </c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 t="str">
        <f>IF(A175="","",IFERROR(INDEX(Пользовательские_сценарии!$O$5:$O$304,MATCH(E175,Пользовательские_сценарии!$A$5:$A$304,0)),0))</f>
        <v/>
      </c>
      <c r="R175" s="2"/>
      <c r="S175" s="2"/>
      <c r="T175" s="4" t="str">
        <f t="shared" si="2"/>
        <v/>
      </c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 t="str">
        <f>IF(A176="","",IFERROR(INDEX(Пользовательские_сценарии!$O$5:$O$304,MATCH(E176,Пользовательские_сценарии!$A$5:$A$304,0)),0))</f>
        <v/>
      </c>
      <c r="R176" s="2"/>
      <c r="S176" s="2"/>
      <c r="T176" s="4" t="str">
        <f t="shared" si="2"/>
        <v/>
      </c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 t="str">
        <f>IF(A177="","",IFERROR(INDEX(Пользовательские_сценарии!$O$5:$O$304,MATCH(E177,Пользовательские_сценарии!$A$5:$A$304,0)),0))</f>
        <v/>
      </c>
      <c r="R177" s="2"/>
      <c r="S177" s="2"/>
      <c r="T177" s="4" t="str">
        <f t="shared" si="2"/>
        <v/>
      </c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 t="str">
        <f>IF(A178="","",IFERROR(INDEX(Пользовательские_сценарии!$O$5:$O$304,MATCH(E178,Пользовательские_сценарии!$A$5:$A$304,0)),0))</f>
        <v/>
      </c>
      <c r="R178" s="2"/>
      <c r="S178" s="2"/>
      <c r="T178" s="4" t="str">
        <f t="shared" si="2"/>
        <v/>
      </c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 t="str">
        <f>IF(A179="","",IFERROR(INDEX(Пользовательские_сценарии!$O$5:$O$304,MATCH(E179,Пользовательские_сценарии!$A$5:$A$304,0)),0))</f>
        <v/>
      </c>
      <c r="R179" s="2"/>
      <c r="S179" s="2"/>
      <c r="T179" s="4" t="str">
        <f t="shared" si="2"/>
        <v/>
      </c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 t="str">
        <f>IF(A180="","",IFERROR(INDEX(Пользовательские_сценарии!$O$5:$O$304,MATCH(E180,Пользовательские_сценарии!$A$5:$A$304,0)),0))</f>
        <v/>
      </c>
      <c r="R180" s="2"/>
      <c r="S180" s="2"/>
      <c r="T180" s="4" t="str">
        <f t="shared" si="2"/>
        <v/>
      </c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 t="str">
        <f>IF(A181="","",IFERROR(INDEX(Пользовательские_сценарии!$O$5:$O$304,MATCH(E181,Пользовательские_сценарии!$A$5:$A$304,0)),0))</f>
        <v/>
      </c>
      <c r="R181" s="2"/>
      <c r="S181" s="2"/>
      <c r="T181" s="4" t="str">
        <f t="shared" si="2"/>
        <v/>
      </c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 t="str">
        <f>IF(A182="","",IFERROR(INDEX(Пользовательские_сценарии!$O$5:$O$304,MATCH(E182,Пользовательские_сценарии!$A$5:$A$304,0)),0))</f>
        <v/>
      </c>
      <c r="R182" s="2"/>
      <c r="S182" s="2"/>
      <c r="T182" s="4" t="str">
        <f t="shared" si="2"/>
        <v/>
      </c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 t="str">
        <f>IF(A183="","",IFERROR(INDEX(Пользовательские_сценарии!$O$5:$O$304,MATCH(E183,Пользовательские_сценарии!$A$5:$A$304,0)),0))</f>
        <v/>
      </c>
      <c r="R183" s="2"/>
      <c r="S183" s="2"/>
      <c r="T183" s="4" t="str">
        <f t="shared" si="2"/>
        <v/>
      </c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 t="str">
        <f>IF(A184="","",IFERROR(INDEX(Пользовательские_сценарии!$O$5:$O$304,MATCH(E184,Пользовательские_сценарии!$A$5:$A$304,0)),0))</f>
        <v/>
      </c>
      <c r="R184" s="2"/>
      <c r="S184" s="2"/>
      <c r="T184" s="4" t="str">
        <f t="shared" si="2"/>
        <v/>
      </c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 t="str">
        <f>IF(A185="","",IFERROR(INDEX(Пользовательские_сценарии!$O$5:$O$304,MATCH(E185,Пользовательские_сценарии!$A$5:$A$304,0)),0))</f>
        <v/>
      </c>
      <c r="R185" s="2"/>
      <c r="S185" s="2"/>
      <c r="T185" s="4" t="str">
        <f t="shared" si="2"/>
        <v/>
      </c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 t="str">
        <f>IF(A186="","",IFERROR(INDEX(Пользовательские_сценарии!$O$5:$O$304,MATCH(E186,Пользовательские_сценарии!$A$5:$A$304,0)),0))</f>
        <v/>
      </c>
      <c r="R186" s="2"/>
      <c r="S186" s="2"/>
      <c r="T186" s="4" t="str">
        <f t="shared" si="2"/>
        <v/>
      </c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 t="str">
        <f>IF(A187="","",IFERROR(INDEX(Пользовательские_сценарии!$O$5:$O$304,MATCH(E187,Пользовательские_сценарии!$A$5:$A$304,0)),0))</f>
        <v/>
      </c>
      <c r="R187" s="2"/>
      <c r="S187" s="2"/>
      <c r="T187" s="4" t="str">
        <f t="shared" si="2"/>
        <v/>
      </c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 t="str">
        <f>IF(A188="","",IFERROR(INDEX(Пользовательские_сценарии!$O$5:$O$304,MATCH(E188,Пользовательские_сценарии!$A$5:$A$304,0)),0))</f>
        <v/>
      </c>
      <c r="R188" s="2"/>
      <c r="S188" s="2"/>
      <c r="T188" s="4" t="str">
        <f t="shared" si="2"/>
        <v/>
      </c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 t="str">
        <f>IF(A189="","",IFERROR(INDEX(Пользовательские_сценарии!$O$5:$O$304,MATCH(E189,Пользовательские_сценарии!$A$5:$A$304,0)),0))</f>
        <v/>
      </c>
      <c r="R189" s="2"/>
      <c r="S189" s="2"/>
      <c r="T189" s="4" t="str">
        <f t="shared" si="2"/>
        <v/>
      </c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 t="str">
        <f>IF(A190="","",IFERROR(INDEX(Пользовательские_сценарии!$O$5:$O$304,MATCH(E190,Пользовательские_сценарии!$A$5:$A$304,0)),0))</f>
        <v/>
      </c>
      <c r="R190" s="2"/>
      <c r="S190" s="2"/>
      <c r="T190" s="4" t="str">
        <f t="shared" si="2"/>
        <v/>
      </c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 t="str">
        <f>IF(A191="","",IFERROR(INDEX(Пользовательские_сценарии!$O$5:$O$304,MATCH(E191,Пользовательские_сценарии!$A$5:$A$304,0)),0))</f>
        <v/>
      </c>
      <c r="R191" s="2"/>
      <c r="S191" s="2"/>
      <c r="T191" s="4" t="str">
        <f t="shared" si="2"/>
        <v/>
      </c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 t="str">
        <f>IF(A192="","",IFERROR(INDEX(Пользовательские_сценарии!$O$5:$O$304,MATCH(E192,Пользовательские_сценарии!$A$5:$A$304,0)),0))</f>
        <v/>
      </c>
      <c r="R192" s="2"/>
      <c r="S192" s="2"/>
      <c r="T192" s="4" t="str">
        <f t="shared" si="2"/>
        <v/>
      </c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 t="str">
        <f>IF(A193="","",IFERROR(INDEX(Пользовательские_сценарии!$O$5:$O$304,MATCH(E193,Пользовательские_сценарии!$A$5:$A$304,0)),0))</f>
        <v/>
      </c>
      <c r="R193" s="2"/>
      <c r="S193" s="2"/>
      <c r="T193" s="4" t="str">
        <f t="shared" si="2"/>
        <v/>
      </c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 t="str">
        <f>IF(A194="","",IFERROR(INDEX(Пользовательские_сценарии!$O$5:$O$304,MATCH(E194,Пользовательские_сценарии!$A$5:$A$304,0)),0))</f>
        <v/>
      </c>
      <c r="R194" s="2"/>
      <c r="S194" s="2"/>
      <c r="T194" s="4" t="str">
        <f t="shared" si="2"/>
        <v/>
      </c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 t="str">
        <f>IF(A195="","",IFERROR(INDEX(Пользовательские_сценарии!$O$5:$O$304,MATCH(E195,Пользовательские_сценарии!$A$5:$A$304,0)),0))</f>
        <v/>
      </c>
      <c r="R195" s="2"/>
      <c r="S195" s="2"/>
      <c r="T195" s="4" t="str">
        <f t="shared" si="2"/>
        <v/>
      </c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 t="str">
        <f>IF(A196="","",IFERROR(INDEX(Пользовательские_сценарии!$O$5:$O$304,MATCH(E196,Пользовательские_сценарии!$A$5:$A$304,0)),0))</f>
        <v/>
      </c>
      <c r="R196" s="2"/>
      <c r="S196" s="2"/>
      <c r="T196" s="4" t="str">
        <f t="shared" si="2"/>
        <v/>
      </c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 t="str">
        <f>IF(A197="","",IFERROR(INDEX(Пользовательские_сценарии!$O$5:$O$304,MATCH(E197,Пользовательские_сценарии!$A$5:$A$304,0)),0))</f>
        <v/>
      </c>
      <c r="R197" s="2"/>
      <c r="S197" s="2"/>
      <c r="T197" s="4" t="str">
        <f t="shared" ref="T197:T260" si="3">IF(A197="","",ROUND(COUNTA(D197:P197)/13,2))</f>
        <v/>
      </c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 t="str">
        <f>IF(A198="","",IFERROR(INDEX(Пользовательские_сценарии!$O$5:$O$304,MATCH(E198,Пользовательские_сценарии!$A$5:$A$304,0)),0))</f>
        <v/>
      </c>
      <c r="R198" s="2"/>
      <c r="S198" s="2"/>
      <c r="T198" s="4" t="str">
        <f t="shared" si="3"/>
        <v/>
      </c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 t="str">
        <f>IF(A199="","",IFERROR(INDEX(Пользовательские_сценарии!$O$5:$O$304,MATCH(E199,Пользовательские_сценарии!$A$5:$A$304,0)),0))</f>
        <v/>
      </c>
      <c r="R199" s="2"/>
      <c r="S199" s="2"/>
      <c r="T199" s="4" t="str">
        <f t="shared" si="3"/>
        <v/>
      </c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 t="str">
        <f>IF(A200="","",IFERROR(INDEX(Пользовательские_сценарии!$O$5:$O$304,MATCH(E200,Пользовательские_сценарии!$A$5:$A$304,0)),0))</f>
        <v/>
      </c>
      <c r="R200" s="2"/>
      <c r="S200" s="2"/>
      <c r="T200" s="4" t="str">
        <f t="shared" si="3"/>
        <v/>
      </c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 t="str">
        <f>IF(A201="","",IFERROR(INDEX(Пользовательские_сценарии!$O$5:$O$304,MATCH(E201,Пользовательские_сценарии!$A$5:$A$304,0)),0))</f>
        <v/>
      </c>
      <c r="R201" s="2"/>
      <c r="S201" s="2"/>
      <c r="T201" s="4" t="str">
        <f t="shared" si="3"/>
        <v/>
      </c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 t="str">
        <f>IF(A202="","",IFERROR(INDEX(Пользовательские_сценарии!$O$5:$O$304,MATCH(E202,Пользовательские_сценарии!$A$5:$A$304,0)),0))</f>
        <v/>
      </c>
      <c r="R202" s="2"/>
      <c r="S202" s="2"/>
      <c r="T202" s="4" t="str">
        <f t="shared" si="3"/>
        <v/>
      </c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 t="str">
        <f>IF(A203="","",IFERROR(INDEX(Пользовательские_сценарии!$O$5:$O$304,MATCH(E203,Пользовательские_сценарии!$A$5:$A$304,0)),0))</f>
        <v/>
      </c>
      <c r="R203" s="2"/>
      <c r="S203" s="2"/>
      <c r="T203" s="4" t="str">
        <f t="shared" si="3"/>
        <v/>
      </c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 t="str">
        <f>IF(A204="","",IFERROR(INDEX(Пользовательские_сценарии!$O$5:$O$304,MATCH(E204,Пользовательские_сценарии!$A$5:$A$304,0)),0))</f>
        <v/>
      </c>
      <c r="R204" s="2"/>
      <c r="S204" s="2"/>
      <c r="T204" s="4" t="str">
        <f t="shared" si="3"/>
        <v/>
      </c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 t="str">
        <f>IF(A205="","",IFERROR(INDEX(Пользовательские_сценарии!$O$5:$O$304,MATCH(E205,Пользовательские_сценарии!$A$5:$A$304,0)),0))</f>
        <v/>
      </c>
      <c r="R205" s="2"/>
      <c r="S205" s="2"/>
      <c r="T205" s="4" t="str">
        <f t="shared" si="3"/>
        <v/>
      </c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 t="str">
        <f>IF(A206="","",IFERROR(INDEX(Пользовательские_сценарии!$O$5:$O$304,MATCH(E206,Пользовательские_сценарии!$A$5:$A$304,0)),0))</f>
        <v/>
      </c>
      <c r="R206" s="2"/>
      <c r="S206" s="2"/>
      <c r="T206" s="4" t="str">
        <f t="shared" si="3"/>
        <v/>
      </c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 t="str">
        <f>IF(A207="","",IFERROR(INDEX(Пользовательские_сценарии!$O$5:$O$304,MATCH(E207,Пользовательские_сценарии!$A$5:$A$304,0)),0))</f>
        <v/>
      </c>
      <c r="R207" s="2"/>
      <c r="S207" s="2"/>
      <c r="T207" s="4" t="str">
        <f t="shared" si="3"/>
        <v/>
      </c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 t="str">
        <f>IF(A208="","",IFERROR(INDEX(Пользовательские_сценарии!$O$5:$O$304,MATCH(E208,Пользовательские_сценарии!$A$5:$A$304,0)),0))</f>
        <v/>
      </c>
      <c r="R208" s="2"/>
      <c r="S208" s="2"/>
      <c r="T208" s="4" t="str">
        <f t="shared" si="3"/>
        <v/>
      </c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 t="str">
        <f>IF(A209="","",IFERROR(INDEX(Пользовательские_сценарии!$O$5:$O$304,MATCH(E209,Пользовательские_сценарии!$A$5:$A$304,0)),0))</f>
        <v/>
      </c>
      <c r="R209" s="2"/>
      <c r="S209" s="2"/>
      <c r="T209" s="4" t="str">
        <f t="shared" si="3"/>
        <v/>
      </c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 t="str">
        <f>IF(A210="","",IFERROR(INDEX(Пользовательские_сценарии!$O$5:$O$304,MATCH(E210,Пользовательские_сценарии!$A$5:$A$304,0)),0))</f>
        <v/>
      </c>
      <c r="R210" s="2"/>
      <c r="S210" s="2"/>
      <c r="T210" s="4" t="str">
        <f t="shared" si="3"/>
        <v/>
      </c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 t="str">
        <f>IF(A211="","",IFERROR(INDEX(Пользовательские_сценарии!$O$5:$O$304,MATCH(E211,Пользовательские_сценарии!$A$5:$A$304,0)),0))</f>
        <v/>
      </c>
      <c r="R211" s="2"/>
      <c r="S211" s="2"/>
      <c r="T211" s="4" t="str">
        <f t="shared" si="3"/>
        <v/>
      </c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 t="str">
        <f>IF(A212="","",IFERROR(INDEX(Пользовательские_сценарии!$O$5:$O$304,MATCH(E212,Пользовательские_сценарии!$A$5:$A$304,0)),0))</f>
        <v/>
      </c>
      <c r="R212" s="2"/>
      <c r="S212" s="2"/>
      <c r="T212" s="4" t="str">
        <f t="shared" si="3"/>
        <v/>
      </c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 t="str">
        <f>IF(A213="","",IFERROR(INDEX(Пользовательские_сценарии!$O$5:$O$304,MATCH(E213,Пользовательские_сценарии!$A$5:$A$304,0)),0))</f>
        <v/>
      </c>
      <c r="R213" s="2"/>
      <c r="S213" s="2"/>
      <c r="T213" s="4" t="str">
        <f t="shared" si="3"/>
        <v/>
      </c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 t="str">
        <f>IF(A214="","",IFERROR(INDEX(Пользовательские_сценарии!$O$5:$O$304,MATCH(E214,Пользовательские_сценарии!$A$5:$A$304,0)),0))</f>
        <v/>
      </c>
      <c r="R214" s="2"/>
      <c r="S214" s="2"/>
      <c r="T214" s="4" t="str">
        <f t="shared" si="3"/>
        <v/>
      </c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 t="str">
        <f>IF(A215="","",IFERROR(INDEX(Пользовательские_сценарии!$O$5:$O$304,MATCH(E215,Пользовательские_сценарии!$A$5:$A$304,0)),0))</f>
        <v/>
      </c>
      <c r="R215" s="2"/>
      <c r="S215" s="2"/>
      <c r="T215" s="4" t="str">
        <f t="shared" si="3"/>
        <v/>
      </c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 t="str">
        <f>IF(A216="","",IFERROR(INDEX(Пользовательские_сценарии!$O$5:$O$304,MATCH(E216,Пользовательские_сценарии!$A$5:$A$304,0)),0))</f>
        <v/>
      </c>
      <c r="R216" s="2"/>
      <c r="S216" s="2"/>
      <c r="T216" s="4" t="str">
        <f t="shared" si="3"/>
        <v/>
      </c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 t="str">
        <f>IF(A217="","",IFERROR(INDEX(Пользовательские_сценарии!$O$5:$O$304,MATCH(E217,Пользовательские_сценарии!$A$5:$A$304,0)),0))</f>
        <v/>
      </c>
      <c r="R217" s="2"/>
      <c r="S217" s="2"/>
      <c r="T217" s="4" t="str">
        <f t="shared" si="3"/>
        <v/>
      </c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 t="str">
        <f>IF(A218="","",IFERROR(INDEX(Пользовательские_сценарии!$O$5:$O$304,MATCH(E218,Пользовательские_сценарии!$A$5:$A$304,0)),0))</f>
        <v/>
      </c>
      <c r="R218" s="2"/>
      <c r="S218" s="2"/>
      <c r="T218" s="4" t="str">
        <f t="shared" si="3"/>
        <v/>
      </c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 t="str">
        <f>IF(A219="","",IFERROR(INDEX(Пользовательские_сценарии!$O$5:$O$304,MATCH(E219,Пользовательские_сценарии!$A$5:$A$304,0)),0))</f>
        <v/>
      </c>
      <c r="R219" s="2"/>
      <c r="S219" s="2"/>
      <c r="T219" s="4" t="str">
        <f t="shared" si="3"/>
        <v/>
      </c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 t="str">
        <f>IF(A220="","",IFERROR(INDEX(Пользовательские_сценарии!$O$5:$O$304,MATCH(E220,Пользовательские_сценарии!$A$5:$A$304,0)),0))</f>
        <v/>
      </c>
      <c r="R220" s="2"/>
      <c r="S220" s="2"/>
      <c r="T220" s="4" t="str">
        <f t="shared" si="3"/>
        <v/>
      </c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 t="str">
        <f>IF(A221="","",IFERROR(INDEX(Пользовательские_сценарии!$O$5:$O$304,MATCH(E221,Пользовательские_сценарии!$A$5:$A$304,0)),0))</f>
        <v/>
      </c>
      <c r="R221" s="2"/>
      <c r="S221" s="2"/>
      <c r="T221" s="4" t="str">
        <f t="shared" si="3"/>
        <v/>
      </c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 t="str">
        <f>IF(A222="","",IFERROR(INDEX(Пользовательские_сценарии!$O$5:$O$304,MATCH(E222,Пользовательские_сценарии!$A$5:$A$304,0)),0))</f>
        <v/>
      </c>
      <c r="R222" s="2"/>
      <c r="S222" s="2"/>
      <c r="T222" s="4" t="str">
        <f t="shared" si="3"/>
        <v/>
      </c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 t="str">
        <f>IF(A223="","",IFERROR(INDEX(Пользовательские_сценарии!$O$5:$O$304,MATCH(E223,Пользовательские_сценарии!$A$5:$A$304,0)),0))</f>
        <v/>
      </c>
      <c r="R223" s="2"/>
      <c r="S223" s="2"/>
      <c r="T223" s="4" t="str">
        <f t="shared" si="3"/>
        <v/>
      </c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 t="str">
        <f>IF(A224="","",IFERROR(INDEX(Пользовательские_сценарии!$O$5:$O$304,MATCH(E224,Пользовательские_сценарии!$A$5:$A$304,0)),0))</f>
        <v/>
      </c>
      <c r="R224" s="2"/>
      <c r="S224" s="2"/>
      <c r="T224" s="4" t="str">
        <f t="shared" si="3"/>
        <v/>
      </c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 t="str">
        <f>IF(A225="","",IFERROR(INDEX(Пользовательские_сценарии!$O$5:$O$304,MATCH(E225,Пользовательские_сценарии!$A$5:$A$304,0)),0))</f>
        <v/>
      </c>
      <c r="R225" s="2"/>
      <c r="S225" s="2"/>
      <c r="T225" s="4" t="str">
        <f t="shared" si="3"/>
        <v/>
      </c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 t="str">
        <f>IF(A226="","",IFERROR(INDEX(Пользовательские_сценарии!$O$5:$O$304,MATCH(E226,Пользовательские_сценарии!$A$5:$A$304,0)),0))</f>
        <v/>
      </c>
      <c r="R226" s="2"/>
      <c r="S226" s="2"/>
      <c r="T226" s="4" t="str">
        <f t="shared" si="3"/>
        <v/>
      </c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 t="str">
        <f>IF(A227="","",IFERROR(INDEX(Пользовательские_сценарии!$O$5:$O$304,MATCH(E227,Пользовательские_сценарии!$A$5:$A$304,0)),0))</f>
        <v/>
      </c>
      <c r="R227" s="2"/>
      <c r="S227" s="2"/>
      <c r="T227" s="4" t="str">
        <f t="shared" si="3"/>
        <v/>
      </c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 t="str">
        <f>IF(A228="","",IFERROR(INDEX(Пользовательские_сценарии!$O$5:$O$304,MATCH(E228,Пользовательские_сценарии!$A$5:$A$304,0)),0))</f>
        <v/>
      </c>
      <c r="R228" s="2"/>
      <c r="S228" s="2"/>
      <c r="T228" s="4" t="str">
        <f t="shared" si="3"/>
        <v/>
      </c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 t="str">
        <f>IF(A229="","",IFERROR(INDEX(Пользовательские_сценарии!$O$5:$O$304,MATCH(E229,Пользовательские_сценарии!$A$5:$A$304,0)),0))</f>
        <v/>
      </c>
      <c r="R229" s="2"/>
      <c r="S229" s="2"/>
      <c r="T229" s="4" t="str">
        <f t="shared" si="3"/>
        <v/>
      </c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 t="str">
        <f>IF(A230="","",IFERROR(INDEX(Пользовательские_сценарии!$O$5:$O$304,MATCH(E230,Пользовательские_сценарии!$A$5:$A$304,0)),0))</f>
        <v/>
      </c>
      <c r="R230" s="2"/>
      <c r="S230" s="2"/>
      <c r="T230" s="4" t="str">
        <f t="shared" si="3"/>
        <v/>
      </c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 t="str">
        <f>IF(A231="","",IFERROR(INDEX(Пользовательские_сценарии!$O$5:$O$304,MATCH(E231,Пользовательские_сценарии!$A$5:$A$304,0)),0))</f>
        <v/>
      </c>
      <c r="R231" s="2"/>
      <c r="S231" s="2"/>
      <c r="T231" s="4" t="str">
        <f t="shared" si="3"/>
        <v/>
      </c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 t="str">
        <f>IF(A232="","",IFERROR(INDEX(Пользовательские_сценарии!$O$5:$O$304,MATCH(E232,Пользовательские_сценарии!$A$5:$A$304,0)),0))</f>
        <v/>
      </c>
      <c r="R232" s="2"/>
      <c r="S232" s="2"/>
      <c r="T232" s="4" t="str">
        <f t="shared" si="3"/>
        <v/>
      </c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 t="str">
        <f>IF(A233="","",IFERROR(INDEX(Пользовательские_сценарии!$O$5:$O$304,MATCH(E233,Пользовательские_сценарии!$A$5:$A$304,0)),0))</f>
        <v/>
      </c>
      <c r="R233" s="2"/>
      <c r="S233" s="2"/>
      <c r="T233" s="4" t="str">
        <f t="shared" si="3"/>
        <v/>
      </c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 t="str">
        <f>IF(A234="","",IFERROR(INDEX(Пользовательские_сценарии!$O$5:$O$304,MATCH(E234,Пользовательские_сценарии!$A$5:$A$304,0)),0))</f>
        <v/>
      </c>
      <c r="R234" s="2"/>
      <c r="S234" s="2"/>
      <c r="T234" s="4" t="str">
        <f t="shared" si="3"/>
        <v/>
      </c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 t="str">
        <f>IF(A235="","",IFERROR(INDEX(Пользовательские_сценарии!$O$5:$O$304,MATCH(E235,Пользовательские_сценарии!$A$5:$A$304,0)),0))</f>
        <v/>
      </c>
      <c r="R235" s="2"/>
      <c r="S235" s="2"/>
      <c r="T235" s="4" t="str">
        <f t="shared" si="3"/>
        <v/>
      </c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 t="str">
        <f>IF(A236="","",IFERROR(INDEX(Пользовательские_сценарии!$O$5:$O$304,MATCH(E236,Пользовательские_сценарии!$A$5:$A$304,0)),0))</f>
        <v/>
      </c>
      <c r="R236" s="2"/>
      <c r="S236" s="2"/>
      <c r="T236" s="4" t="str">
        <f t="shared" si="3"/>
        <v/>
      </c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 t="str">
        <f>IF(A237="","",IFERROR(INDEX(Пользовательские_сценарии!$O$5:$O$304,MATCH(E237,Пользовательские_сценарии!$A$5:$A$304,0)),0))</f>
        <v/>
      </c>
      <c r="R237" s="2"/>
      <c r="S237" s="2"/>
      <c r="T237" s="4" t="str">
        <f t="shared" si="3"/>
        <v/>
      </c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 t="str">
        <f>IF(A238="","",IFERROR(INDEX(Пользовательские_сценарии!$O$5:$O$304,MATCH(E238,Пользовательские_сценарии!$A$5:$A$304,0)),0))</f>
        <v/>
      </c>
      <c r="R238" s="2"/>
      <c r="S238" s="2"/>
      <c r="T238" s="4" t="str">
        <f t="shared" si="3"/>
        <v/>
      </c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 t="str">
        <f>IF(A239="","",IFERROR(INDEX(Пользовательские_сценарии!$O$5:$O$304,MATCH(E239,Пользовательские_сценарии!$A$5:$A$304,0)),0))</f>
        <v/>
      </c>
      <c r="R239" s="2"/>
      <c r="S239" s="2"/>
      <c r="T239" s="4" t="str">
        <f t="shared" si="3"/>
        <v/>
      </c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 t="str">
        <f>IF(A240="","",IFERROR(INDEX(Пользовательские_сценарии!$O$5:$O$304,MATCH(E240,Пользовательские_сценарии!$A$5:$A$304,0)),0))</f>
        <v/>
      </c>
      <c r="R240" s="2"/>
      <c r="S240" s="2"/>
      <c r="T240" s="4" t="str">
        <f t="shared" si="3"/>
        <v/>
      </c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 t="str">
        <f>IF(A241="","",IFERROR(INDEX(Пользовательские_сценарии!$O$5:$O$304,MATCH(E241,Пользовательские_сценарии!$A$5:$A$304,0)),0))</f>
        <v/>
      </c>
      <c r="R241" s="2"/>
      <c r="S241" s="2"/>
      <c r="T241" s="4" t="str">
        <f t="shared" si="3"/>
        <v/>
      </c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 t="str">
        <f>IF(A242="","",IFERROR(INDEX(Пользовательские_сценарии!$O$5:$O$304,MATCH(E242,Пользовательские_сценарии!$A$5:$A$304,0)),0))</f>
        <v/>
      </c>
      <c r="R242" s="2"/>
      <c r="S242" s="2"/>
      <c r="T242" s="4" t="str">
        <f t="shared" si="3"/>
        <v/>
      </c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 t="str">
        <f>IF(A243="","",IFERROR(INDEX(Пользовательские_сценарии!$O$5:$O$304,MATCH(E243,Пользовательские_сценарии!$A$5:$A$304,0)),0))</f>
        <v/>
      </c>
      <c r="R243" s="2"/>
      <c r="S243" s="2"/>
      <c r="T243" s="4" t="str">
        <f t="shared" si="3"/>
        <v/>
      </c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 t="str">
        <f>IF(A244="","",IFERROR(INDEX(Пользовательские_сценарии!$O$5:$O$304,MATCH(E244,Пользовательские_сценарии!$A$5:$A$304,0)),0))</f>
        <v/>
      </c>
      <c r="R244" s="2"/>
      <c r="S244" s="2"/>
      <c r="T244" s="4" t="str">
        <f t="shared" si="3"/>
        <v/>
      </c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 t="str">
        <f>IF(A245="","",IFERROR(INDEX(Пользовательские_сценарии!$O$5:$O$304,MATCH(E245,Пользовательские_сценарии!$A$5:$A$304,0)),0))</f>
        <v/>
      </c>
      <c r="R245" s="2"/>
      <c r="S245" s="2"/>
      <c r="T245" s="4" t="str">
        <f t="shared" si="3"/>
        <v/>
      </c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 t="str">
        <f>IF(A246="","",IFERROR(INDEX(Пользовательские_сценарии!$O$5:$O$304,MATCH(E246,Пользовательские_сценарии!$A$5:$A$304,0)),0))</f>
        <v/>
      </c>
      <c r="R246" s="2"/>
      <c r="S246" s="2"/>
      <c r="T246" s="4" t="str">
        <f t="shared" si="3"/>
        <v/>
      </c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 t="str">
        <f>IF(A247="","",IFERROR(INDEX(Пользовательские_сценарии!$O$5:$O$304,MATCH(E247,Пользовательские_сценарии!$A$5:$A$304,0)),0))</f>
        <v/>
      </c>
      <c r="R247" s="2"/>
      <c r="S247" s="2"/>
      <c r="T247" s="4" t="str">
        <f t="shared" si="3"/>
        <v/>
      </c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 t="str">
        <f>IF(A248="","",IFERROR(INDEX(Пользовательские_сценарии!$O$5:$O$304,MATCH(E248,Пользовательские_сценарии!$A$5:$A$304,0)),0))</f>
        <v/>
      </c>
      <c r="R248" s="2"/>
      <c r="S248" s="2"/>
      <c r="T248" s="4" t="str">
        <f t="shared" si="3"/>
        <v/>
      </c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 t="str">
        <f>IF(A249="","",IFERROR(INDEX(Пользовательские_сценарии!$O$5:$O$304,MATCH(E249,Пользовательские_сценарии!$A$5:$A$304,0)),0))</f>
        <v/>
      </c>
      <c r="R249" s="2"/>
      <c r="S249" s="2"/>
      <c r="T249" s="4" t="str">
        <f t="shared" si="3"/>
        <v/>
      </c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 t="str">
        <f>IF(A250="","",IFERROR(INDEX(Пользовательские_сценарии!$O$5:$O$304,MATCH(E250,Пользовательские_сценарии!$A$5:$A$304,0)),0))</f>
        <v/>
      </c>
      <c r="R250" s="2"/>
      <c r="S250" s="2"/>
      <c r="T250" s="4" t="str">
        <f t="shared" si="3"/>
        <v/>
      </c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 t="str">
        <f>IF(A251="","",IFERROR(INDEX(Пользовательские_сценарии!$O$5:$O$304,MATCH(E251,Пользовательские_сценарии!$A$5:$A$304,0)),0))</f>
        <v/>
      </c>
      <c r="R251" s="2"/>
      <c r="S251" s="2"/>
      <c r="T251" s="4" t="str">
        <f t="shared" si="3"/>
        <v/>
      </c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 t="str">
        <f>IF(A252="","",IFERROR(INDEX(Пользовательские_сценарии!$O$5:$O$304,MATCH(E252,Пользовательские_сценарии!$A$5:$A$304,0)),0))</f>
        <v/>
      </c>
      <c r="R252" s="2"/>
      <c r="S252" s="2"/>
      <c r="T252" s="4" t="str">
        <f t="shared" si="3"/>
        <v/>
      </c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 t="str">
        <f>IF(A253="","",IFERROR(INDEX(Пользовательские_сценарии!$O$5:$O$304,MATCH(E253,Пользовательские_сценарии!$A$5:$A$304,0)),0))</f>
        <v/>
      </c>
      <c r="R253" s="2"/>
      <c r="S253" s="2"/>
      <c r="T253" s="4" t="str">
        <f t="shared" si="3"/>
        <v/>
      </c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 t="str">
        <f>IF(A254="","",IFERROR(INDEX(Пользовательские_сценарии!$O$5:$O$304,MATCH(E254,Пользовательские_сценарии!$A$5:$A$304,0)),0))</f>
        <v/>
      </c>
      <c r="R254" s="2"/>
      <c r="S254" s="2"/>
      <c r="T254" s="4" t="str">
        <f t="shared" si="3"/>
        <v/>
      </c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 t="str">
        <f>IF(A255="","",IFERROR(INDEX(Пользовательские_сценарии!$O$5:$O$304,MATCH(E255,Пользовательские_сценарии!$A$5:$A$304,0)),0))</f>
        <v/>
      </c>
      <c r="R255" s="2"/>
      <c r="S255" s="2"/>
      <c r="T255" s="4" t="str">
        <f t="shared" si="3"/>
        <v/>
      </c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 t="str">
        <f>IF(A256="","",IFERROR(INDEX(Пользовательские_сценарии!$O$5:$O$304,MATCH(E256,Пользовательские_сценарии!$A$5:$A$304,0)),0))</f>
        <v/>
      </c>
      <c r="R256" s="2"/>
      <c r="S256" s="2"/>
      <c r="T256" s="4" t="str">
        <f t="shared" si="3"/>
        <v/>
      </c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 t="str">
        <f>IF(A257="","",IFERROR(INDEX(Пользовательские_сценарии!$O$5:$O$304,MATCH(E257,Пользовательские_сценарии!$A$5:$A$304,0)),0))</f>
        <v/>
      </c>
      <c r="R257" s="2"/>
      <c r="S257" s="2"/>
      <c r="T257" s="4" t="str">
        <f t="shared" si="3"/>
        <v/>
      </c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 t="str">
        <f>IF(A258="","",IFERROR(INDEX(Пользовательские_сценарии!$O$5:$O$304,MATCH(E258,Пользовательские_сценарии!$A$5:$A$304,0)),0))</f>
        <v/>
      </c>
      <c r="R258" s="2"/>
      <c r="S258" s="2"/>
      <c r="T258" s="4" t="str">
        <f t="shared" si="3"/>
        <v/>
      </c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 t="str">
        <f>IF(A259="","",IFERROR(INDEX(Пользовательские_сценарии!$O$5:$O$304,MATCH(E259,Пользовательские_сценарии!$A$5:$A$304,0)),0))</f>
        <v/>
      </c>
      <c r="R259" s="2"/>
      <c r="S259" s="2"/>
      <c r="T259" s="4" t="str">
        <f t="shared" si="3"/>
        <v/>
      </c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 t="str">
        <f>IF(A260="","",IFERROR(INDEX(Пользовательские_сценарии!$O$5:$O$304,MATCH(E260,Пользовательские_сценарии!$A$5:$A$304,0)),0))</f>
        <v/>
      </c>
      <c r="R260" s="2"/>
      <c r="S260" s="2"/>
      <c r="T260" s="4" t="str">
        <f t="shared" si="3"/>
        <v/>
      </c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 t="str">
        <f>IF(A261="","",IFERROR(INDEX(Пользовательские_сценарии!$O$5:$O$304,MATCH(E261,Пользовательские_сценарии!$A$5:$A$304,0)),0))</f>
        <v/>
      </c>
      <c r="R261" s="2"/>
      <c r="S261" s="2"/>
      <c r="T261" s="4" t="str">
        <f t="shared" ref="T261:T304" si="4">IF(A261="","",ROUND(COUNTA(D261:P261)/13,2))</f>
        <v/>
      </c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 t="str">
        <f>IF(A262="","",IFERROR(INDEX(Пользовательские_сценарии!$O$5:$O$304,MATCH(E262,Пользовательские_сценарии!$A$5:$A$304,0)),0))</f>
        <v/>
      </c>
      <c r="R262" s="2"/>
      <c r="S262" s="2"/>
      <c r="T262" s="4" t="str">
        <f t="shared" si="4"/>
        <v/>
      </c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 t="str">
        <f>IF(A263="","",IFERROR(INDEX(Пользовательские_сценарии!$O$5:$O$304,MATCH(E263,Пользовательские_сценарии!$A$5:$A$304,0)),0))</f>
        <v/>
      </c>
      <c r="R263" s="2"/>
      <c r="S263" s="2"/>
      <c r="T263" s="4" t="str">
        <f t="shared" si="4"/>
        <v/>
      </c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 t="str">
        <f>IF(A264="","",IFERROR(INDEX(Пользовательские_сценарии!$O$5:$O$304,MATCH(E264,Пользовательские_сценарии!$A$5:$A$304,0)),0))</f>
        <v/>
      </c>
      <c r="R264" s="2"/>
      <c r="S264" s="2"/>
      <c r="T264" s="4" t="str">
        <f t="shared" si="4"/>
        <v/>
      </c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 t="str">
        <f>IF(A265="","",IFERROR(INDEX(Пользовательские_сценарии!$O$5:$O$304,MATCH(E265,Пользовательские_сценарии!$A$5:$A$304,0)),0))</f>
        <v/>
      </c>
      <c r="R265" s="2"/>
      <c r="S265" s="2"/>
      <c r="T265" s="4" t="str">
        <f t="shared" si="4"/>
        <v/>
      </c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 t="str">
        <f>IF(A266="","",IFERROR(INDEX(Пользовательские_сценарии!$O$5:$O$304,MATCH(E266,Пользовательские_сценарии!$A$5:$A$304,0)),0))</f>
        <v/>
      </c>
      <c r="R266" s="2"/>
      <c r="S266" s="2"/>
      <c r="T266" s="4" t="str">
        <f t="shared" si="4"/>
        <v/>
      </c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 t="str">
        <f>IF(A267="","",IFERROR(INDEX(Пользовательские_сценарии!$O$5:$O$304,MATCH(E267,Пользовательские_сценарии!$A$5:$A$304,0)),0))</f>
        <v/>
      </c>
      <c r="R267" s="2"/>
      <c r="S267" s="2"/>
      <c r="T267" s="4" t="str">
        <f t="shared" si="4"/>
        <v/>
      </c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 t="str">
        <f>IF(A268="","",IFERROR(INDEX(Пользовательские_сценарии!$O$5:$O$304,MATCH(E268,Пользовательские_сценарии!$A$5:$A$304,0)),0))</f>
        <v/>
      </c>
      <c r="R268" s="2"/>
      <c r="S268" s="2"/>
      <c r="T268" s="4" t="str">
        <f t="shared" si="4"/>
        <v/>
      </c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 t="str">
        <f>IF(A269="","",IFERROR(INDEX(Пользовательские_сценарии!$O$5:$O$304,MATCH(E269,Пользовательские_сценарии!$A$5:$A$304,0)),0))</f>
        <v/>
      </c>
      <c r="R269" s="2"/>
      <c r="S269" s="2"/>
      <c r="T269" s="4" t="str">
        <f t="shared" si="4"/>
        <v/>
      </c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 t="str">
        <f>IF(A270="","",IFERROR(INDEX(Пользовательские_сценарии!$O$5:$O$304,MATCH(E270,Пользовательские_сценарии!$A$5:$A$304,0)),0))</f>
        <v/>
      </c>
      <c r="R270" s="2"/>
      <c r="S270" s="2"/>
      <c r="T270" s="4" t="str">
        <f t="shared" si="4"/>
        <v/>
      </c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 t="str">
        <f>IF(A271="","",IFERROR(INDEX(Пользовательские_сценарии!$O$5:$O$304,MATCH(E271,Пользовательские_сценарии!$A$5:$A$304,0)),0))</f>
        <v/>
      </c>
      <c r="R271" s="2"/>
      <c r="S271" s="2"/>
      <c r="T271" s="4" t="str">
        <f t="shared" si="4"/>
        <v/>
      </c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 t="str">
        <f>IF(A272="","",IFERROR(INDEX(Пользовательские_сценарии!$O$5:$O$304,MATCH(E272,Пользовательские_сценарии!$A$5:$A$304,0)),0))</f>
        <v/>
      </c>
      <c r="R272" s="2"/>
      <c r="S272" s="2"/>
      <c r="T272" s="4" t="str">
        <f t="shared" si="4"/>
        <v/>
      </c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 t="str">
        <f>IF(A273="","",IFERROR(INDEX(Пользовательские_сценарии!$O$5:$O$304,MATCH(E273,Пользовательские_сценарии!$A$5:$A$304,0)),0))</f>
        <v/>
      </c>
      <c r="R273" s="2"/>
      <c r="S273" s="2"/>
      <c r="T273" s="4" t="str">
        <f t="shared" si="4"/>
        <v/>
      </c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 t="str">
        <f>IF(A274="","",IFERROR(INDEX(Пользовательские_сценарии!$O$5:$O$304,MATCH(E274,Пользовательские_сценарии!$A$5:$A$304,0)),0))</f>
        <v/>
      </c>
      <c r="R274" s="2"/>
      <c r="S274" s="2"/>
      <c r="T274" s="4" t="str">
        <f t="shared" si="4"/>
        <v/>
      </c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 t="str">
        <f>IF(A275="","",IFERROR(INDEX(Пользовательские_сценарии!$O$5:$O$304,MATCH(E275,Пользовательские_сценарии!$A$5:$A$304,0)),0))</f>
        <v/>
      </c>
      <c r="R275" s="2"/>
      <c r="S275" s="2"/>
      <c r="T275" s="4" t="str">
        <f t="shared" si="4"/>
        <v/>
      </c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 t="str">
        <f>IF(A276="","",IFERROR(INDEX(Пользовательские_сценарии!$O$5:$O$304,MATCH(E276,Пользовательские_сценарии!$A$5:$A$304,0)),0))</f>
        <v/>
      </c>
      <c r="R276" s="2"/>
      <c r="S276" s="2"/>
      <c r="T276" s="4" t="str">
        <f t="shared" si="4"/>
        <v/>
      </c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 t="str">
        <f>IF(A277="","",IFERROR(INDEX(Пользовательские_сценарии!$O$5:$O$304,MATCH(E277,Пользовательские_сценарии!$A$5:$A$304,0)),0))</f>
        <v/>
      </c>
      <c r="R277" s="2"/>
      <c r="S277" s="2"/>
      <c r="T277" s="4" t="str">
        <f t="shared" si="4"/>
        <v/>
      </c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 t="str">
        <f>IF(A278="","",IFERROR(INDEX(Пользовательские_сценарии!$O$5:$O$304,MATCH(E278,Пользовательские_сценарии!$A$5:$A$304,0)),0))</f>
        <v/>
      </c>
      <c r="R278" s="2"/>
      <c r="S278" s="2"/>
      <c r="T278" s="4" t="str">
        <f t="shared" si="4"/>
        <v/>
      </c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 t="str">
        <f>IF(A279="","",IFERROR(INDEX(Пользовательские_сценарии!$O$5:$O$304,MATCH(E279,Пользовательские_сценарии!$A$5:$A$304,0)),0))</f>
        <v/>
      </c>
      <c r="R279" s="2"/>
      <c r="S279" s="2"/>
      <c r="T279" s="4" t="str">
        <f t="shared" si="4"/>
        <v/>
      </c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 t="str">
        <f>IF(A280="","",IFERROR(INDEX(Пользовательские_сценарии!$O$5:$O$304,MATCH(E280,Пользовательские_сценарии!$A$5:$A$304,0)),0))</f>
        <v/>
      </c>
      <c r="R280" s="2"/>
      <c r="S280" s="2"/>
      <c r="T280" s="4" t="str">
        <f t="shared" si="4"/>
        <v/>
      </c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 t="str">
        <f>IF(A281="","",IFERROR(INDEX(Пользовательские_сценарии!$O$5:$O$304,MATCH(E281,Пользовательские_сценарии!$A$5:$A$304,0)),0))</f>
        <v/>
      </c>
      <c r="R281" s="2"/>
      <c r="S281" s="2"/>
      <c r="T281" s="4" t="str">
        <f t="shared" si="4"/>
        <v/>
      </c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 t="str">
        <f>IF(A282="","",IFERROR(INDEX(Пользовательские_сценарии!$O$5:$O$304,MATCH(E282,Пользовательские_сценарии!$A$5:$A$304,0)),0))</f>
        <v/>
      </c>
      <c r="R282" s="2"/>
      <c r="S282" s="2"/>
      <c r="T282" s="4" t="str">
        <f t="shared" si="4"/>
        <v/>
      </c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 t="str">
        <f>IF(A283="","",IFERROR(INDEX(Пользовательские_сценарии!$O$5:$O$304,MATCH(E283,Пользовательские_сценарии!$A$5:$A$304,0)),0))</f>
        <v/>
      </c>
      <c r="R283" s="2"/>
      <c r="S283" s="2"/>
      <c r="T283" s="4" t="str">
        <f t="shared" si="4"/>
        <v/>
      </c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 t="str">
        <f>IF(A284="","",IFERROR(INDEX(Пользовательские_сценарии!$O$5:$O$304,MATCH(E284,Пользовательские_сценарии!$A$5:$A$304,0)),0))</f>
        <v/>
      </c>
      <c r="R284" s="2"/>
      <c r="S284" s="2"/>
      <c r="T284" s="4" t="str">
        <f t="shared" si="4"/>
        <v/>
      </c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 t="str">
        <f>IF(A285="","",IFERROR(INDEX(Пользовательские_сценарии!$O$5:$O$304,MATCH(E285,Пользовательские_сценарии!$A$5:$A$304,0)),0))</f>
        <v/>
      </c>
      <c r="R285" s="2"/>
      <c r="S285" s="2"/>
      <c r="T285" s="4" t="str">
        <f t="shared" si="4"/>
        <v/>
      </c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 t="str">
        <f>IF(A286="","",IFERROR(INDEX(Пользовательские_сценарии!$O$5:$O$304,MATCH(E286,Пользовательские_сценарии!$A$5:$A$304,0)),0))</f>
        <v/>
      </c>
      <c r="R286" s="2"/>
      <c r="S286" s="2"/>
      <c r="T286" s="4" t="str">
        <f t="shared" si="4"/>
        <v/>
      </c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 t="str">
        <f>IF(A287="","",IFERROR(INDEX(Пользовательские_сценарии!$O$5:$O$304,MATCH(E287,Пользовательские_сценарии!$A$5:$A$304,0)),0))</f>
        <v/>
      </c>
      <c r="R287" s="2"/>
      <c r="S287" s="2"/>
      <c r="T287" s="4" t="str">
        <f t="shared" si="4"/>
        <v/>
      </c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 t="str">
        <f>IF(A288="","",IFERROR(INDEX(Пользовательские_сценарии!$O$5:$O$304,MATCH(E288,Пользовательские_сценарии!$A$5:$A$304,0)),0))</f>
        <v/>
      </c>
      <c r="R288" s="2"/>
      <c r="S288" s="2"/>
      <c r="T288" s="4" t="str">
        <f t="shared" si="4"/>
        <v/>
      </c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 t="str">
        <f>IF(A289="","",IFERROR(INDEX(Пользовательские_сценарии!$O$5:$O$304,MATCH(E289,Пользовательские_сценарии!$A$5:$A$304,0)),0))</f>
        <v/>
      </c>
      <c r="R289" s="2"/>
      <c r="S289" s="2"/>
      <c r="T289" s="4" t="str">
        <f t="shared" si="4"/>
        <v/>
      </c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 t="str">
        <f>IF(A290="","",IFERROR(INDEX(Пользовательские_сценарии!$O$5:$O$304,MATCH(E290,Пользовательские_сценарии!$A$5:$A$304,0)),0))</f>
        <v/>
      </c>
      <c r="R290" s="2"/>
      <c r="S290" s="2"/>
      <c r="T290" s="4" t="str">
        <f t="shared" si="4"/>
        <v/>
      </c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 t="str">
        <f>IF(A291="","",IFERROR(INDEX(Пользовательские_сценарии!$O$5:$O$304,MATCH(E291,Пользовательские_сценарии!$A$5:$A$304,0)),0))</f>
        <v/>
      </c>
      <c r="R291" s="2"/>
      <c r="S291" s="2"/>
      <c r="T291" s="4" t="str">
        <f t="shared" si="4"/>
        <v/>
      </c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 t="str">
        <f>IF(A292="","",IFERROR(INDEX(Пользовательские_сценарии!$O$5:$O$304,MATCH(E292,Пользовательские_сценарии!$A$5:$A$304,0)),0))</f>
        <v/>
      </c>
      <c r="R292" s="2"/>
      <c r="S292" s="2"/>
      <c r="T292" s="4" t="str">
        <f t="shared" si="4"/>
        <v/>
      </c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 t="str">
        <f>IF(A293="","",IFERROR(INDEX(Пользовательские_сценарии!$O$5:$O$304,MATCH(E293,Пользовательские_сценарии!$A$5:$A$304,0)),0))</f>
        <v/>
      </c>
      <c r="R293" s="2"/>
      <c r="S293" s="2"/>
      <c r="T293" s="4" t="str">
        <f t="shared" si="4"/>
        <v/>
      </c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 t="str">
        <f>IF(A294="","",IFERROR(INDEX(Пользовательские_сценарии!$O$5:$O$304,MATCH(E294,Пользовательские_сценарии!$A$5:$A$304,0)),0))</f>
        <v/>
      </c>
      <c r="R294" s="2"/>
      <c r="S294" s="2"/>
      <c r="T294" s="4" t="str">
        <f t="shared" si="4"/>
        <v/>
      </c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 t="str">
        <f>IF(A295="","",IFERROR(INDEX(Пользовательские_сценарии!$O$5:$O$304,MATCH(E295,Пользовательские_сценарии!$A$5:$A$304,0)),0))</f>
        <v/>
      </c>
      <c r="R295" s="2"/>
      <c r="S295" s="2"/>
      <c r="T295" s="4" t="str">
        <f t="shared" si="4"/>
        <v/>
      </c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 t="str">
        <f>IF(A296="","",IFERROR(INDEX(Пользовательские_сценарии!$O$5:$O$304,MATCH(E296,Пользовательские_сценарии!$A$5:$A$304,0)),0))</f>
        <v/>
      </c>
      <c r="R296" s="2"/>
      <c r="S296" s="2"/>
      <c r="T296" s="4" t="str">
        <f t="shared" si="4"/>
        <v/>
      </c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 t="str">
        <f>IF(A297="","",IFERROR(INDEX(Пользовательские_сценарии!$O$5:$O$304,MATCH(E297,Пользовательские_сценарии!$A$5:$A$304,0)),0))</f>
        <v/>
      </c>
      <c r="R297" s="2"/>
      <c r="S297" s="2"/>
      <c r="T297" s="4" t="str">
        <f t="shared" si="4"/>
        <v/>
      </c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 t="str">
        <f>IF(A298="","",IFERROR(INDEX(Пользовательские_сценарии!$O$5:$O$304,MATCH(E298,Пользовательские_сценарии!$A$5:$A$304,0)),0))</f>
        <v/>
      </c>
      <c r="R298" s="2"/>
      <c r="S298" s="2"/>
      <c r="T298" s="4" t="str">
        <f t="shared" si="4"/>
        <v/>
      </c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 t="str">
        <f>IF(A299="","",IFERROR(INDEX(Пользовательские_сценарии!$O$5:$O$304,MATCH(E299,Пользовательские_сценарии!$A$5:$A$304,0)),0))</f>
        <v/>
      </c>
      <c r="R299" s="2"/>
      <c r="S299" s="2"/>
      <c r="T299" s="4" t="str">
        <f t="shared" si="4"/>
        <v/>
      </c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 t="str">
        <f>IF(A300="","",IFERROR(INDEX(Пользовательские_сценарии!$O$5:$O$304,MATCH(E300,Пользовательские_сценарии!$A$5:$A$304,0)),0))</f>
        <v/>
      </c>
      <c r="R300" s="2"/>
      <c r="S300" s="2"/>
      <c r="T300" s="4" t="str">
        <f t="shared" si="4"/>
        <v/>
      </c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 t="str">
        <f>IF(A301="","",IFERROR(INDEX(Пользовательские_сценарии!$O$5:$O$304,MATCH(E301,Пользовательские_сценарии!$A$5:$A$304,0)),0))</f>
        <v/>
      </c>
      <c r="R301" s="2"/>
      <c r="S301" s="2"/>
      <c r="T301" s="4" t="str">
        <f t="shared" si="4"/>
        <v/>
      </c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 t="str">
        <f>IF(A302="","",IFERROR(INDEX(Пользовательские_сценарии!$O$5:$O$304,MATCH(E302,Пользовательские_сценарии!$A$5:$A$304,0)),0))</f>
        <v/>
      </c>
      <c r="R302" s="2"/>
      <c r="S302" s="2"/>
      <c r="T302" s="4" t="str">
        <f t="shared" si="4"/>
        <v/>
      </c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 t="str">
        <f>IF(A303="","",IFERROR(INDEX(Пользовательские_сценарии!$O$5:$O$304,MATCH(E303,Пользовательские_сценарии!$A$5:$A$304,0)),0))</f>
        <v/>
      </c>
      <c r="R303" s="2"/>
      <c r="S303" s="2"/>
      <c r="T303" s="4" t="str">
        <f t="shared" si="4"/>
        <v/>
      </c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 t="str">
        <f>IF(A304="","",IFERROR(INDEX(Пользовательские_сценарии!$O$5:$O$304,MATCH(E304,Пользовательские_сценарии!$A$5:$A$304,0)),0))</f>
        <v/>
      </c>
      <c r="R304" s="2"/>
      <c r="S304" s="2"/>
      <c r="T304" s="4" t="str">
        <f t="shared" si="4"/>
        <v/>
      </c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U1"/>
    <mergeCell ref="A2:U2"/>
  </mergeCells>
  <conditionalFormatting sqref="Q5:Q304">
    <cfRule type="dataBar" priority="1">
      <dataBar>
        <cfvo type="min"/>
        <cfvo type="max"/>
        <color rgb="FF2F6F7E"/>
      </dataBar>
    </cfRule>
  </conditionalFormatting>
  <conditionalFormatting sqref="T5:T304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Q5:Q304">
    <cfRule type="dataBar" priority="3">
      <dataBar>
        <cfvo type="min"/>
        <cfvo type="max"/>
        <color rgb="FF2F6F7E"/>
      </dataBar>
      <extLst>
        <ext xmlns:x14="http://schemas.microsoft.com/office/spreadsheetml/2009/9/main" uri="{B025F937-C7B1-47D3-B67F-A62EFF666E3E}">
          <x14:id>{21CE02E6-C0DD-F449-044B-0E47682D18CD}</x14:id>
        </ext>
      </extLst>
    </cfRule>
  </conditionalFormatting>
  <dataValidations count="7">
    <dataValidation type="list" sqref="B5:B304" xr:uid="{00000000-0002-0000-0400-000000000000}">
      <formula1>"Страница сайта,Экран приложения,Общий модуль,Системное состояние,Форма,Личный кабинет,Платежный экран"</formula1>
    </dataValidation>
    <dataValidation type="list" sqref="G5:G304" xr:uid="{00000000-0002-0000-0400-000001000000}">
      <formula1>"Осведомление,Первичный интерес,Оценка решения,Регистрация,Настройка,Основное использование,Оплата,Поддержка,Повторное использование,Отток/возврат"</formula1>
    </dataValidation>
    <dataValidation type="list" sqref="O5:O304" xr:uid="{00000000-0002-0000-0400-000002000000}">
      <formula1>"Да,Нет,Частично"</formula1>
    </dataValidation>
    <dataValidation type="list" sqref="P5:P304" xr:uid="{00000000-0002-0000-0400-000003000000}">
      <formula1>"Прямое получение оплаты,Подведение к оплате,Удержание,Повышение ценности тарифа,Снижение затрат,Не связана напрямую"</formula1>
    </dataValidation>
    <dataValidation type="list" sqref="R5:R304" xr:uid="{00000000-0002-0000-0400-000004000000}">
      <formula1>"Не начато,Требует уточнения,В проектировании,В прототипе,Готово к ТЗ,Исключено"</formula1>
    </dataValidation>
    <dataValidation type="list" sqref="S5:S304" xr:uid="{00000000-0002-0000-0400-000005000000}">
      <formula1>"1,2,3,4,5"</formula1>
    </dataValidation>
    <dataValidation type="list" sqref="U5:U304" xr:uid="{00000000-0002-0000-0400-000006000000}">
      <formula1>"Оставить,Объединить,Разделить,Уточнить,Исключить,Перенести в следующий выпуск"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CE02E6-C0DD-F449-044B-0E47682D18CD}">
            <x14:dataBar>
              <x14:cfvo type="min"/>
              <x14:cfvo type="max"/>
              <x14:negativeFillColor auto="1"/>
              <x14:axisColor auto="1"/>
            </x14:dataBar>
          </x14:cfRule>
          <xm:sqref>Q5:Q304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05"/>
  <sheetViews>
    <sheetView workbookViewId="0"/>
  </sheetViews>
  <sheetFormatPr defaultRowHeight="13.5"/>
  <cols>
    <col min="1" max="1" width="12" customWidth="1"/>
    <col min="2" max="2" width="14" customWidth="1"/>
    <col min="3" max="3" width="12" customWidth="1"/>
    <col min="4" max="4" width="20" customWidth="1"/>
    <col min="5" max="5" width="26" customWidth="1"/>
    <col min="6" max="6" width="12" customWidth="1"/>
    <col min="7" max="8" width="16" customWidth="1"/>
    <col min="9" max="9" width="44" customWidth="1"/>
  </cols>
  <sheetData>
    <row r="1" spans="1:21" ht="16.05" customHeight="1">
      <c r="A1" s="6" t="s">
        <v>118</v>
      </c>
      <c r="B1" s="6"/>
      <c r="C1" s="6"/>
      <c r="D1" s="6"/>
      <c r="E1" s="6"/>
      <c r="F1" s="6"/>
      <c r="G1" s="6"/>
      <c r="H1" s="6"/>
      <c r="I1" s="6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05" customHeight="1">
      <c r="A2" s="7" t="s">
        <v>119</v>
      </c>
      <c r="B2" s="7"/>
      <c r="C2" s="7"/>
      <c r="D2" s="7"/>
      <c r="E2" s="7"/>
      <c r="F2" s="7"/>
      <c r="G2" s="7"/>
      <c r="H2" s="7"/>
      <c r="I2" s="7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05" customHeight="1">
      <c r="A4" s="3" t="s">
        <v>120</v>
      </c>
      <c r="B4" s="3" t="s">
        <v>70</v>
      </c>
      <c r="C4" s="3" t="s">
        <v>89</v>
      </c>
      <c r="D4" s="3" t="s">
        <v>121</v>
      </c>
      <c r="E4" s="3" t="s">
        <v>122</v>
      </c>
      <c r="F4" s="3" t="s">
        <v>123</v>
      </c>
      <c r="G4" s="3" t="s">
        <v>124</v>
      </c>
      <c r="H4" s="3" t="s">
        <v>125</v>
      </c>
      <c r="I4" s="3" t="s">
        <v>126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7">
      <c r="A5" s="2" t="s">
        <v>127</v>
      </c>
      <c r="B5" s="2" t="s">
        <v>52</v>
      </c>
      <c r="C5" s="2" t="s">
        <v>107</v>
      </c>
      <c r="D5" s="2" t="s">
        <v>143</v>
      </c>
      <c r="E5" s="2" t="s">
        <v>594</v>
      </c>
      <c r="F5" s="2">
        <v>1</v>
      </c>
      <c r="G5" s="2"/>
      <c r="H5" s="2" t="s">
        <v>114</v>
      </c>
      <c r="I5" s="2" t="s">
        <v>130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7">
      <c r="A6" s="2" t="s">
        <v>131</v>
      </c>
      <c r="B6" s="2" t="s">
        <v>52</v>
      </c>
      <c r="C6" s="2" t="s">
        <v>114</v>
      </c>
      <c r="D6" s="2" t="s">
        <v>595</v>
      </c>
      <c r="E6" s="2" t="s">
        <v>594</v>
      </c>
      <c r="F6" s="2">
        <v>2</v>
      </c>
      <c r="G6" s="2" t="s">
        <v>107</v>
      </c>
      <c r="H6" s="2"/>
      <c r="I6" s="2" t="s">
        <v>132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 t="s">
        <v>596</v>
      </c>
      <c r="B7" s="2" t="s">
        <v>85</v>
      </c>
      <c r="C7" s="2" t="s">
        <v>114</v>
      </c>
      <c r="D7" s="2" t="s">
        <v>143</v>
      </c>
      <c r="E7" s="2" t="s">
        <v>594</v>
      </c>
      <c r="F7" s="2"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597</v>
      </c>
      <c r="B8" s="2" t="s">
        <v>85</v>
      </c>
      <c r="C8" s="2" t="s">
        <v>484</v>
      </c>
      <c r="D8" s="2" t="s">
        <v>595</v>
      </c>
      <c r="E8" s="2" t="s">
        <v>594</v>
      </c>
      <c r="F8" s="2">
        <v>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 t="s">
        <v>598</v>
      </c>
      <c r="B9" s="2" t="s">
        <v>48</v>
      </c>
      <c r="C9" s="2" t="s">
        <v>504</v>
      </c>
      <c r="D9" s="2" t="s">
        <v>143</v>
      </c>
      <c r="E9" s="2" t="s">
        <v>594</v>
      </c>
      <c r="F9" s="2">
        <v>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599</v>
      </c>
      <c r="B10" s="2" t="s">
        <v>48</v>
      </c>
      <c r="C10" s="2" t="s">
        <v>524</v>
      </c>
      <c r="D10" s="2" t="s">
        <v>595</v>
      </c>
      <c r="E10" s="2" t="s">
        <v>594</v>
      </c>
      <c r="F10" s="2">
        <v>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 t="s">
        <v>600</v>
      </c>
      <c r="B11" s="2" t="s">
        <v>418</v>
      </c>
      <c r="C11" s="2" t="s">
        <v>524</v>
      </c>
      <c r="D11" s="2" t="s">
        <v>143</v>
      </c>
      <c r="E11" s="2" t="s">
        <v>594</v>
      </c>
      <c r="F11" s="2">
        <v>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 t="s">
        <v>601</v>
      </c>
      <c r="B12" s="2" t="s">
        <v>418</v>
      </c>
      <c r="C12" s="2" t="s">
        <v>534</v>
      </c>
      <c r="D12" s="2" t="s">
        <v>595</v>
      </c>
      <c r="E12" s="2" t="s">
        <v>594</v>
      </c>
      <c r="F12" s="2">
        <v>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 t="s">
        <v>602</v>
      </c>
      <c r="B13" s="2" t="s">
        <v>418</v>
      </c>
      <c r="C13" s="2" t="s">
        <v>583</v>
      </c>
      <c r="D13" s="2" t="s">
        <v>595</v>
      </c>
      <c r="E13" s="2" t="s">
        <v>603</v>
      </c>
      <c r="F13" s="2">
        <v>3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 t="s">
        <v>604</v>
      </c>
      <c r="B14" s="2" t="s">
        <v>329</v>
      </c>
      <c r="C14" s="2" t="s">
        <v>524</v>
      </c>
      <c r="D14" s="2" t="s">
        <v>143</v>
      </c>
      <c r="E14" s="2" t="s">
        <v>594</v>
      </c>
      <c r="F14" s="2">
        <v>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 t="s">
        <v>605</v>
      </c>
      <c r="B15" s="2" t="s">
        <v>329</v>
      </c>
      <c r="C15" s="2" t="s">
        <v>534</v>
      </c>
      <c r="D15" s="2" t="s">
        <v>595</v>
      </c>
      <c r="E15" s="2" t="s">
        <v>594</v>
      </c>
      <c r="F15" s="2">
        <v>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 t="s">
        <v>606</v>
      </c>
      <c r="B16" s="2" t="s">
        <v>369</v>
      </c>
      <c r="C16" s="2" t="s">
        <v>544</v>
      </c>
      <c r="D16" s="2" t="s">
        <v>143</v>
      </c>
      <c r="E16" s="2" t="s">
        <v>594</v>
      </c>
      <c r="F16" s="2">
        <v>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 t="s">
        <v>607</v>
      </c>
      <c r="B17" s="2" t="s">
        <v>437</v>
      </c>
      <c r="C17" s="2" t="s">
        <v>554</v>
      </c>
      <c r="D17" s="2" t="s">
        <v>143</v>
      </c>
      <c r="E17" s="2" t="s">
        <v>594</v>
      </c>
      <c r="F17" s="2">
        <v>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 t="s">
        <v>608</v>
      </c>
      <c r="B18" s="2" t="s">
        <v>353</v>
      </c>
      <c r="C18" s="2" t="s">
        <v>484</v>
      </c>
      <c r="D18" s="2" t="s">
        <v>143</v>
      </c>
      <c r="E18" s="2" t="s">
        <v>594</v>
      </c>
      <c r="F18" s="2">
        <v>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 t="s">
        <v>609</v>
      </c>
      <c r="B19" s="2" t="s">
        <v>353</v>
      </c>
      <c r="C19" s="2" t="s">
        <v>513</v>
      </c>
      <c r="D19" s="2" t="s">
        <v>595</v>
      </c>
      <c r="E19" s="2" t="s">
        <v>594</v>
      </c>
      <c r="F19" s="2">
        <v>2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 t="s">
        <v>610</v>
      </c>
      <c r="B20" s="2" t="s">
        <v>353</v>
      </c>
      <c r="C20" s="2" t="s">
        <v>574</v>
      </c>
      <c r="D20" s="2" t="s">
        <v>595</v>
      </c>
      <c r="E20" s="2" t="s">
        <v>603</v>
      </c>
      <c r="F20" s="2">
        <v>3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 t="s">
        <v>611</v>
      </c>
      <c r="B21" s="2" t="s">
        <v>451</v>
      </c>
      <c r="C21" s="2" t="s">
        <v>564</v>
      </c>
      <c r="D21" s="2" t="s">
        <v>143</v>
      </c>
      <c r="E21" s="2" t="s">
        <v>594</v>
      </c>
      <c r="F21" s="2">
        <v>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 t="s">
        <v>612</v>
      </c>
      <c r="B22" s="2" t="s">
        <v>459</v>
      </c>
      <c r="C22" s="2" t="s">
        <v>494</v>
      </c>
      <c r="D22" s="2" t="s">
        <v>143</v>
      </c>
      <c r="E22" s="2" t="s">
        <v>594</v>
      </c>
      <c r="F22" s="2">
        <v>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I1"/>
    <mergeCell ref="A2:I2"/>
  </mergeCells>
  <dataValidations count="2">
    <dataValidation type="list" sqref="D5:D304" xr:uid="{00000000-0002-0000-0500-000000000000}">
      <formula1>"Основная,Поддерживающая,Альтернативная,Сервисная,Монетизационная,Контрольная"</formula1>
    </dataValidation>
    <dataValidation type="list" sqref="E5:E304" xr:uid="{00000000-0002-0000-0500-000001000000}">
      <formula1>"Обязательно для первой версии,Желательно для первой версии,Следующий выпуск,Отложить,Исключить"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05"/>
  <sheetViews>
    <sheetView workbookViewId="0"/>
  </sheetViews>
  <sheetFormatPr defaultRowHeight="13.5"/>
  <cols>
    <col min="1" max="1" width="12" customWidth="1"/>
    <col min="2" max="3" width="14" customWidth="1"/>
    <col min="4" max="5" width="34" customWidth="1"/>
    <col min="6" max="6" width="12" customWidth="1"/>
    <col min="7" max="8" width="20" customWidth="1"/>
    <col min="9" max="9" width="14" customWidth="1"/>
    <col min="10" max="10" width="42" customWidth="1"/>
  </cols>
  <sheetData>
    <row r="1" spans="1:21" ht="16.05" customHeight="1">
      <c r="A1" s="6" t="s">
        <v>133</v>
      </c>
      <c r="B1" s="6"/>
      <c r="C1" s="6"/>
      <c r="D1" s="6"/>
      <c r="E1" s="6"/>
      <c r="F1" s="6"/>
      <c r="G1" s="6"/>
      <c r="H1" s="6"/>
      <c r="I1" s="6"/>
      <c r="J1" s="6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05" customHeight="1">
      <c r="A2" s="7" t="s">
        <v>134</v>
      </c>
      <c r="B2" s="7"/>
      <c r="C2" s="7"/>
      <c r="D2" s="7"/>
      <c r="E2" s="7"/>
      <c r="F2" s="7"/>
      <c r="G2" s="7"/>
      <c r="H2" s="7"/>
      <c r="I2" s="7"/>
      <c r="J2" s="7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05" customHeight="1">
      <c r="A4" s="3" t="s">
        <v>135</v>
      </c>
      <c r="B4" s="3" t="s">
        <v>136</v>
      </c>
      <c r="C4" s="3" t="s">
        <v>137</v>
      </c>
      <c r="D4" s="3" t="s">
        <v>138</v>
      </c>
      <c r="E4" s="3" t="s">
        <v>139</v>
      </c>
      <c r="F4" s="3" t="s">
        <v>55</v>
      </c>
      <c r="G4" s="3" t="s">
        <v>71</v>
      </c>
      <c r="H4" s="3" t="s">
        <v>140</v>
      </c>
      <c r="I4" s="3" t="s">
        <v>141</v>
      </c>
      <c r="J4" s="3" t="s">
        <v>126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2" t="s">
        <v>142</v>
      </c>
      <c r="B5" s="2" t="s">
        <v>107</v>
      </c>
      <c r="C5" s="2" t="s">
        <v>114</v>
      </c>
      <c r="D5" s="2" t="s">
        <v>613</v>
      </c>
      <c r="E5" s="2" t="s">
        <v>110</v>
      </c>
      <c r="F5" s="2" t="s">
        <v>47</v>
      </c>
      <c r="G5" s="2" t="s">
        <v>477</v>
      </c>
      <c r="H5" s="2" t="s">
        <v>614</v>
      </c>
      <c r="I5" s="2">
        <v>2</v>
      </c>
      <c r="J5" s="2" t="s">
        <v>615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2" t="s">
        <v>616</v>
      </c>
      <c r="B6" s="2" t="s">
        <v>107</v>
      </c>
      <c r="C6" s="2" t="s">
        <v>504</v>
      </c>
      <c r="D6" s="2" t="s">
        <v>617</v>
      </c>
      <c r="E6" s="2" t="s">
        <v>110</v>
      </c>
      <c r="F6" s="2" t="s">
        <v>47</v>
      </c>
      <c r="G6" s="2" t="s">
        <v>411</v>
      </c>
      <c r="H6" s="2" t="s">
        <v>618</v>
      </c>
      <c r="I6" s="2">
        <v>2</v>
      </c>
      <c r="J6" s="2" t="s">
        <v>619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7">
      <c r="A7" s="2" t="s">
        <v>620</v>
      </c>
      <c r="B7" s="2" t="s">
        <v>114</v>
      </c>
      <c r="C7" s="2" t="s">
        <v>484</v>
      </c>
      <c r="D7" s="2" t="s">
        <v>621</v>
      </c>
      <c r="E7" s="2" t="s">
        <v>110</v>
      </c>
      <c r="F7" s="2" t="s">
        <v>47</v>
      </c>
      <c r="G7" s="2" t="s">
        <v>404</v>
      </c>
      <c r="H7" s="2" t="s">
        <v>614</v>
      </c>
      <c r="I7" s="2">
        <v>2</v>
      </c>
      <c r="J7" s="2" t="s">
        <v>622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623</v>
      </c>
      <c r="B8" s="2" t="s">
        <v>114</v>
      </c>
      <c r="C8" s="2" t="s">
        <v>504</v>
      </c>
      <c r="D8" s="2" t="s">
        <v>617</v>
      </c>
      <c r="E8" s="2" t="s">
        <v>110</v>
      </c>
      <c r="F8" s="2" t="s">
        <v>47</v>
      </c>
      <c r="G8" s="2" t="s">
        <v>411</v>
      </c>
      <c r="H8" s="2" t="s">
        <v>618</v>
      </c>
      <c r="I8" s="2">
        <v>2</v>
      </c>
      <c r="J8" s="2" t="s">
        <v>86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 t="s">
        <v>624</v>
      </c>
      <c r="B9" s="2" t="s">
        <v>484</v>
      </c>
      <c r="C9" s="2" t="s">
        <v>513</v>
      </c>
      <c r="D9" s="2" t="s">
        <v>625</v>
      </c>
      <c r="E9" s="2" t="s">
        <v>626</v>
      </c>
      <c r="F9" s="2" t="s">
        <v>352</v>
      </c>
      <c r="G9" s="2" t="s">
        <v>444</v>
      </c>
      <c r="H9" s="2" t="s">
        <v>618</v>
      </c>
      <c r="I9" s="2">
        <v>3</v>
      </c>
      <c r="J9" s="2" t="s">
        <v>627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628</v>
      </c>
      <c r="B10" s="2" t="s">
        <v>484</v>
      </c>
      <c r="C10" s="2" t="s">
        <v>504</v>
      </c>
      <c r="D10" s="2" t="s">
        <v>629</v>
      </c>
      <c r="E10" s="2" t="s">
        <v>630</v>
      </c>
      <c r="F10" s="2" t="s">
        <v>47</v>
      </c>
      <c r="G10" s="2" t="s">
        <v>411</v>
      </c>
      <c r="H10" s="2" t="s">
        <v>618</v>
      </c>
      <c r="I10" s="2">
        <v>2</v>
      </c>
      <c r="J10" s="2" t="s">
        <v>86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7">
      <c r="A11" s="2" t="s">
        <v>631</v>
      </c>
      <c r="B11" s="2" t="s">
        <v>504</v>
      </c>
      <c r="C11" s="2" t="s">
        <v>524</v>
      </c>
      <c r="D11" s="2" t="s">
        <v>632</v>
      </c>
      <c r="E11" s="2" t="s">
        <v>633</v>
      </c>
      <c r="F11" s="2" t="s">
        <v>51</v>
      </c>
      <c r="G11" s="2" t="s">
        <v>419</v>
      </c>
      <c r="H11" s="2" t="s">
        <v>634</v>
      </c>
      <c r="I11" s="2">
        <v>2</v>
      </c>
      <c r="J11" s="2" t="s">
        <v>635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7">
      <c r="A12" s="2" t="s">
        <v>636</v>
      </c>
      <c r="B12" s="2" t="s">
        <v>524</v>
      </c>
      <c r="C12" s="2" t="s">
        <v>534</v>
      </c>
      <c r="D12" s="2" t="s">
        <v>527</v>
      </c>
      <c r="E12" s="2" t="s">
        <v>637</v>
      </c>
      <c r="F12" s="2" t="s">
        <v>51</v>
      </c>
      <c r="G12" s="2" t="s">
        <v>419</v>
      </c>
      <c r="H12" s="2" t="s">
        <v>614</v>
      </c>
      <c r="I12" s="2">
        <v>2</v>
      </c>
      <c r="J12" s="2" t="s">
        <v>638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7">
      <c r="A13" s="2" t="s">
        <v>639</v>
      </c>
      <c r="B13" s="2" t="s">
        <v>534</v>
      </c>
      <c r="C13" s="2" t="s">
        <v>544</v>
      </c>
      <c r="D13" s="2" t="s">
        <v>640</v>
      </c>
      <c r="E13" s="2" t="s">
        <v>641</v>
      </c>
      <c r="F13" s="2" t="s">
        <v>51</v>
      </c>
      <c r="G13" s="2" t="s">
        <v>419</v>
      </c>
      <c r="H13" s="2" t="s">
        <v>614</v>
      </c>
      <c r="I13" s="2">
        <v>2</v>
      </c>
      <c r="J13" s="2" t="s">
        <v>642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 t="s">
        <v>643</v>
      </c>
      <c r="B14" s="2" t="s">
        <v>534</v>
      </c>
      <c r="C14" s="2" t="s">
        <v>564</v>
      </c>
      <c r="D14" s="2" t="s">
        <v>644</v>
      </c>
      <c r="E14" s="2" t="s">
        <v>645</v>
      </c>
      <c r="F14" s="2" t="s">
        <v>51</v>
      </c>
      <c r="G14" s="2" t="s">
        <v>452</v>
      </c>
      <c r="H14" s="2" t="s">
        <v>634</v>
      </c>
      <c r="I14" s="2">
        <v>3</v>
      </c>
      <c r="J14" s="2" t="s">
        <v>646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7">
      <c r="A15" s="2" t="s">
        <v>647</v>
      </c>
      <c r="B15" s="2" t="s">
        <v>534</v>
      </c>
      <c r="C15" s="2" t="s">
        <v>583</v>
      </c>
      <c r="D15" s="2" t="s">
        <v>648</v>
      </c>
      <c r="E15" s="2" t="s">
        <v>649</v>
      </c>
      <c r="F15" s="2" t="s">
        <v>51</v>
      </c>
      <c r="G15" s="2" t="s">
        <v>419</v>
      </c>
      <c r="H15" s="2" t="s">
        <v>614</v>
      </c>
      <c r="I15" s="2">
        <v>3</v>
      </c>
      <c r="J15" s="2" t="s">
        <v>573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27">
      <c r="A16" s="2" t="s">
        <v>650</v>
      </c>
      <c r="B16" s="2" t="s">
        <v>544</v>
      </c>
      <c r="C16" s="2" t="s">
        <v>554</v>
      </c>
      <c r="D16" s="2" t="s">
        <v>651</v>
      </c>
      <c r="E16" s="2" t="s">
        <v>626</v>
      </c>
      <c r="F16" s="2" t="s">
        <v>328</v>
      </c>
      <c r="G16" s="2" t="s">
        <v>438</v>
      </c>
      <c r="H16" s="2" t="s">
        <v>652</v>
      </c>
      <c r="I16" s="2">
        <v>2</v>
      </c>
      <c r="J16" s="2" t="s">
        <v>653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27">
      <c r="A17" s="2" t="s">
        <v>654</v>
      </c>
      <c r="B17" s="2" t="s">
        <v>554</v>
      </c>
      <c r="C17" s="2" t="s">
        <v>534</v>
      </c>
      <c r="D17" s="2" t="s">
        <v>655</v>
      </c>
      <c r="E17" s="2" t="s">
        <v>656</v>
      </c>
      <c r="F17" s="2" t="s">
        <v>328</v>
      </c>
      <c r="G17" s="2" t="s">
        <v>438</v>
      </c>
      <c r="H17" s="2" t="s">
        <v>652</v>
      </c>
      <c r="I17" s="2">
        <v>2</v>
      </c>
      <c r="J17" s="2" t="s">
        <v>657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 t="s">
        <v>658</v>
      </c>
      <c r="B18" s="2" t="s">
        <v>574</v>
      </c>
      <c r="C18" s="2" t="s">
        <v>484</v>
      </c>
      <c r="D18" s="2" t="s">
        <v>659</v>
      </c>
      <c r="E18" s="2" t="s">
        <v>660</v>
      </c>
      <c r="F18" s="2" t="s">
        <v>352</v>
      </c>
      <c r="G18" s="2" t="s">
        <v>444</v>
      </c>
      <c r="H18" s="2" t="s">
        <v>618</v>
      </c>
      <c r="I18" s="2">
        <v>3</v>
      </c>
      <c r="J18" s="2" t="s">
        <v>661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 t="s">
        <v>662</v>
      </c>
      <c r="B19" s="2" t="s">
        <v>494</v>
      </c>
      <c r="C19" s="2" t="s">
        <v>534</v>
      </c>
      <c r="D19" s="2" t="s">
        <v>663</v>
      </c>
      <c r="E19" s="2" t="s">
        <v>664</v>
      </c>
      <c r="F19" s="2" t="s">
        <v>328</v>
      </c>
      <c r="G19" s="2" t="s">
        <v>452</v>
      </c>
      <c r="H19" s="2" t="s">
        <v>665</v>
      </c>
      <c r="I19" s="2">
        <v>2</v>
      </c>
      <c r="J19" s="2" t="s">
        <v>666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J1"/>
    <mergeCell ref="A2:J2"/>
  </mergeCells>
  <dataValidations count="3">
    <dataValidation type="list" sqref="G5:G204" xr:uid="{00000000-0002-0000-0600-000000000000}">
      <formula1>"Осведомление,Первичный интерес,Оценка решения,Регистрация,Настройка,Основное использование,Оплата,Поддержка,Повторное использование,Отток/возврат"</formula1>
    </dataValidation>
    <dataValidation type="list" sqref="H5:H204" xr:uid="{00000000-0002-0000-0600-000001000000}">
      <formula1>"Основной,Возврат,Ветвление,Переход после ошибки,Переход после оплаты,Внешний переход,Системный переход"</formula1>
    </dataValidation>
    <dataValidation type="list" sqref="I5:I204" xr:uid="{00000000-0002-0000-0600-000002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305"/>
  <sheetViews>
    <sheetView workbookViewId="0"/>
  </sheetViews>
  <sheetFormatPr defaultRowHeight="13.5"/>
  <cols>
    <col min="1" max="2" width="12" customWidth="1"/>
    <col min="3" max="4" width="28" customWidth="1"/>
    <col min="5" max="5" width="24" customWidth="1"/>
    <col min="6" max="7" width="30" customWidth="1"/>
    <col min="8" max="8" width="22" customWidth="1"/>
    <col min="9" max="9" width="26" customWidth="1"/>
    <col min="10" max="10" width="36" customWidth="1"/>
    <col min="11" max="11" width="16" customWidth="1"/>
  </cols>
  <sheetData>
    <row r="1" spans="1:21" ht="16.05" customHeight="1">
      <c r="A1" s="6" t="s">
        <v>144</v>
      </c>
      <c r="B1" s="6"/>
      <c r="C1" s="6"/>
      <c r="D1" s="6"/>
      <c r="E1" s="6"/>
      <c r="F1" s="6"/>
      <c r="G1" s="6"/>
      <c r="H1" s="6"/>
      <c r="I1" s="6"/>
      <c r="J1" s="6"/>
      <c r="K1" s="6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05" customHeight="1">
      <c r="A2" s="7" t="s">
        <v>145</v>
      </c>
      <c r="B2" s="7"/>
      <c r="C2" s="7"/>
      <c r="D2" s="7"/>
      <c r="E2" s="7"/>
      <c r="F2" s="7"/>
      <c r="G2" s="7"/>
      <c r="H2" s="7"/>
      <c r="I2" s="7"/>
      <c r="J2" s="7"/>
      <c r="K2" s="7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05" customHeight="1">
      <c r="A4" s="3" t="s">
        <v>146</v>
      </c>
      <c r="B4" s="3" t="s">
        <v>89</v>
      </c>
      <c r="C4" s="3" t="s">
        <v>147</v>
      </c>
      <c r="D4" s="3" t="s">
        <v>148</v>
      </c>
      <c r="E4" s="3" t="s">
        <v>149</v>
      </c>
      <c r="F4" s="3" t="s">
        <v>150</v>
      </c>
      <c r="G4" s="3" t="s">
        <v>151</v>
      </c>
      <c r="H4" s="3" t="s">
        <v>152</v>
      </c>
      <c r="I4" s="3" t="s">
        <v>153</v>
      </c>
      <c r="J4" s="3" t="s">
        <v>154</v>
      </c>
      <c r="K4" s="3" t="s">
        <v>155</v>
      </c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7">
      <c r="A5" s="2" t="s">
        <v>156</v>
      </c>
      <c r="B5" s="2" t="s">
        <v>484</v>
      </c>
      <c r="C5" s="2" t="s">
        <v>667</v>
      </c>
      <c r="D5" s="2" t="s">
        <v>668</v>
      </c>
      <c r="E5" s="2" t="s">
        <v>669</v>
      </c>
      <c r="F5" s="2" t="s">
        <v>157</v>
      </c>
      <c r="G5" s="2" t="s">
        <v>670</v>
      </c>
      <c r="H5" s="2" t="s">
        <v>671</v>
      </c>
      <c r="I5" s="2" t="s">
        <v>672</v>
      </c>
      <c r="J5" s="2" t="s">
        <v>673</v>
      </c>
      <c r="K5" s="4">
        <f t="shared" ref="K5:K36" si="0">IF(A5="","",ROUND(COUNTA(C5:J5)/8,2))</f>
        <v>1</v>
      </c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7">
      <c r="A6" s="2" t="s">
        <v>158</v>
      </c>
      <c r="B6" s="2" t="s">
        <v>504</v>
      </c>
      <c r="C6" s="2" t="s">
        <v>674</v>
      </c>
      <c r="D6" s="2" t="s">
        <v>675</v>
      </c>
      <c r="E6" s="2" t="s">
        <v>676</v>
      </c>
      <c r="F6" s="2" t="s">
        <v>677</v>
      </c>
      <c r="G6" s="2" t="s">
        <v>678</v>
      </c>
      <c r="H6" s="2" t="s">
        <v>671</v>
      </c>
      <c r="I6" s="2" t="s">
        <v>679</v>
      </c>
      <c r="J6" s="2" t="s">
        <v>680</v>
      </c>
      <c r="K6" s="4">
        <f t="shared" si="0"/>
        <v>1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 t="s">
        <v>681</v>
      </c>
      <c r="B7" s="2" t="s">
        <v>513</v>
      </c>
      <c r="C7" s="2" t="s">
        <v>682</v>
      </c>
      <c r="D7" s="2" t="s">
        <v>683</v>
      </c>
      <c r="E7" s="2" t="s">
        <v>684</v>
      </c>
      <c r="F7" s="2" t="s">
        <v>685</v>
      </c>
      <c r="G7" s="2" t="s">
        <v>686</v>
      </c>
      <c r="H7" s="2" t="s">
        <v>687</v>
      </c>
      <c r="I7" s="2" t="s">
        <v>688</v>
      </c>
      <c r="J7" s="2" t="s">
        <v>689</v>
      </c>
      <c r="K7" s="4">
        <f t="shared" si="0"/>
        <v>1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7">
      <c r="A8" s="2" t="s">
        <v>690</v>
      </c>
      <c r="B8" s="2" t="s">
        <v>534</v>
      </c>
      <c r="C8" s="2" t="s">
        <v>691</v>
      </c>
      <c r="D8" s="2" t="s">
        <v>692</v>
      </c>
      <c r="E8" s="2" t="s">
        <v>693</v>
      </c>
      <c r="F8" s="2" t="s">
        <v>694</v>
      </c>
      <c r="G8" s="2" t="s">
        <v>695</v>
      </c>
      <c r="H8" s="2" t="s">
        <v>696</v>
      </c>
      <c r="I8" s="2" t="s">
        <v>641</v>
      </c>
      <c r="J8" s="2" t="s">
        <v>697</v>
      </c>
      <c r="K8" s="4">
        <f t="shared" si="0"/>
        <v>1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 t="s">
        <v>698</v>
      </c>
      <c r="B9" s="2" t="s">
        <v>544</v>
      </c>
      <c r="C9" s="2" t="s">
        <v>699</v>
      </c>
      <c r="D9" s="2" t="s">
        <v>700</v>
      </c>
      <c r="E9" s="2" t="s">
        <v>701</v>
      </c>
      <c r="F9" s="2" t="s">
        <v>702</v>
      </c>
      <c r="G9" s="2" t="s">
        <v>703</v>
      </c>
      <c r="H9" s="2" t="s">
        <v>704</v>
      </c>
      <c r="I9" s="2" t="s">
        <v>705</v>
      </c>
      <c r="J9" s="2" t="s">
        <v>706</v>
      </c>
      <c r="K9" s="4">
        <f t="shared" si="0"/>
        <v>1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707</v>
      </c>
      <c r="B10" s="2" t="s">
        <v>554</v>
      </c>
      <c r="C10" s="2" t="s">
        <v>708</v>
      </c>
      <c r="D10" s="2" t="s">
        <v>709</v>
      </c>
      <c r="E10" s="2" t="s">
        <v>710</v>
      </c>
      <c r="F10" s="2" t="s">
        <v>157</v>
      </c>
      <c r="G10" s="2" t="s">
        <v>711</v>
      </c>
      <c r="H10" s="2" t="s">
        <v>687</v>
      </c>
      <c r="I10" s="2" t="s">
        <v>712</v>
      </c>
      <c r="J10" s="2" t="s">
        <v>713</v>
      </c>
      <c r="K10" s="4">
        <f t="shared" si="0"/>
        <v>1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/>
      <c r="B11" s="2"/>
      <c r="C11" s="2"/>
      <c r="D11" s="2"/>
      <c r="E11" s="2"/>
      <c r="F11" s="2"/>
      <c r="G11" s="2"/>
      <c r="H11" s="2"/>
      <c r="I11" s="2"/>
      <c r="J11" s="2"/>
      <c r="K11" s="4" t="str">
        <f t="shared" si="0"/>
        <v/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/>
      <c r="B12" s="2"/>
      <c r="C12" s="2"/>
      <c r="D12" s="2"/>
      <c r="E12" s="2"/>
      <c r="F12" s="2"/>
      <c r="G12" s="2"/>
      <c r="H12" s="2"/>
      <c r="I12" s="2"/>
      <c r="J12" s="2"/>
      <c r="K12" s="4" t="str">
        <f t="shared" si="0"/>
        <v/>
      </c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J13" s="2"/>
      <c r="K13" s="4" t="str">
        <f t="shared" si="0"/>
        <v/>
      </c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J14" s="2"/>
      <c r="K14" s="4" t="str">
        <f t="shared" si="0"/>
        <v/>
      </c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4" t="str">
        <f t="shared" si="0"/>
        <v/>
      </c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4" t="str">
        <f t="shared" si="0"/>
        <v/>
      </c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4" t="str">
        <f t="shared" si="0"/>
        <v/>
      </c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4" t="str">
        <f t="shared" si="0"/>
        <v/>
      </c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4" t="str">
        <f t="shared" si="0"/>
        <v/>
      </c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4" t="str">
        <f t="shared" si="0"/>
        <v/>
      </c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4" t="str">
        <f t="shared" si="0"/>
        <v/>
      </c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4" t="str">
        <f t="shared" si="0"/>
        <v/>
      </c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4" t="str">
        <f t="shared" si="0"/>
        <v/>
      </c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4" t="str">
        <f t="shared" si="0"/>
        <v/>
      </c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4" t="str">
        <f t="shared" si="0"/>
        <v/>
      </c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4" t="str">
        <f t="shared" si="0"/>
        <v/>
      </c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4" t="str">
        <f t="shared" si="0"/>
        <v/>
      </c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4" t="str">
        <f t="shared" si="0"/>
        <v/>
      </c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4" t="str">
        <f t="shared" si="0"/>
        <v/>
      </c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4" t="str">
        <f t="shared" si="0"/>
        <v/>
      </c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4" t="str">
        <f t="shared" si="0"/>
        <v/>
      </c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4" t="str">
        <f t="shared" si="0"/>
        <v/>
      </c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4" t="str">
        <f t="shared" si="0"/>
        <v/>
      </c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4" t="str">
        <f t="shared" si="0"/>
        <v/>
      </c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4" t="str">
        <f t="shared" si="0"/>
        <v/>
      </c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4" t="str">
        <f t="shared" si="0"/>
        <v/>
      </c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4" t="str">
        <f t="shared" ref="K37:K68" si="1">IF(A37="","",ROUND(COUNTA(C37:J37)/8,2))</f>
        <v/>
      </c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4" t="str">
        <f t="shared" si="1"/>
        <v/>
      </c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4" t="str">
        <f t="shared" si="1"/>
        <v/>
      </c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4" t="str">
        <f t="shared" si="1"/>
        <v/>
      </c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4" t="str">
        <f t="shared" si="1"/>
        <v/>
      </c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4" t="str">
        <f t="shared" si="1"/>
        <v/>
      </c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4" t="str">
        <f t="shared" si="1"/>
        <v/>
      </c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4" t="str">
        <f t="shared" si="1"/>
        <v/>
      </c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4" t="str">
        <f t="shared" si="1"/>
        <v/>
      </c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4" t="str">
        <f t="shared" si="1"/>
        <v/>
      </c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4" t="str">
        <f t="shared" si="1"/>
        <v/>
      </c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4" t="str">
        <f t="shared" si="1"/>
        <v/>
      </c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4" t="str">
        <f t="shared" si="1"/>
        <v/>
      </c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4" t="str">
        <f t="shared" si="1"/>
        <v/>
      </c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4" t="str">
        <f t="shared" si="1"/>
        <v/>
      </c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4" t="str">
        <f t="shared" si="1"/>
        <v/>
      </c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4" t="str">
        <f t="shared" si="1"/>
        <v/>
      </c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4" t="str">
        <f t="shared" si="1"/>
        <v/>
      </c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4" t="str">
        <f t="shared" si="1"/>
        <v/>
      </c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4" t="str">
        <f t="shared" si="1"/>
        <v/>
      </c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4" t="str">
        <f t="shared" si="1"/>
        <v/>
      </c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4" t="str">
        <f t="shared" si="1"/>
        <v/>
      </c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4" t="str">
        <f t="shared" si="1"/>
        <v/>
      </c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4" t="str">
        <f t="shared" si="1"/>
        <v/>
      </c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4" t="str">
        <f t="shared" si="1"/>
        <v/>
      </c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4" t="str">
        <f t="shared" si="1"/>
        <v/>
      </c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4" t="str">
        <f t="shared" si="1"/>
        <v/>
      </c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4" t="str">
        <f t="shared" si="1"/>
        <v/>
      </c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4" t="str">
        <f t="shared" si="1"/>
        <v/>
      </c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4" t="str">
        <f t="shared" si="1"/>
        <v/>
      </c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4" t="str">
        <f t="shared" si="1"/>
        <v/>
      </c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4" t="str">
        <f t="shared" si="1"/>
        <v/>
      </c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4" t="str">
        <f t="shared" ref="K69:K100" si="2">IF(A69="","",ROUND(COUNTA(C69:J69)/8,2))</f>
        <v/>
      </c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4" t="str">
        <f t="shared" si="2"/>
        <v/>
      </c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4" t="str">
        <f t="shared" si="2"/>
        <v/>
      </c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4" t="str">
        <f t="shared" si="2"/>
        <v/>
      </c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4" t="str">
        <f t="shared" si="2"/>
        <v/>
      </c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4" t="str">
        <f t="shared" si="2"/>
        <v/>
      </c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4" t="str">
        <f t="shared" si="2"/>
        <v/>
      </c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4" t="str">
        <f t="shared" si="2"/>
        <v/>
      </c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4" t="str">
        <f t="shared" si="2"/>
        <v/>
      </c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4" t="str">
        <f t="shared" si="2"/>
        <v/>
      </c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4" t="str">
        <f t="shared" si="2"/>
        <v/>
      </c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4" t="str">
        <f t="shared" si="2"/>
        <v/>
      </c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4" t="str">
        <f t="shared" si="2"/>
        <v/>
      </c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4" t="str">
        <f t="shared" si="2"/>
        <v/>
      </c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4" t="str">
        <f t="shared" si="2"/>
        <v/>
      </c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4" t="str">
        <f t="shared" si="2"/>
        <v/>
      </c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4" t="str">
        <f t="shared" si="2"/>
        <v/>
      </c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4" t="str">
        <f t="shared" si="2"/>
        <v/>
      </c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4" t="str">
        <f t="shared" si="2"/>
        <v/>
      </c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4" t="str">
        <f t="shared" si="2"/>
        <v/>
      </c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4" t="str">
        <f t="shared" si="2"/>
        <v/>
      </c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4" t="str">
        <f t="shared" si="2"/>
        <v/>
      </c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4" t="str">
        <f t="shared" si="2"/>
        <v/>
      </c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4" t="str">
        <f t="shared" si="2"/>
        <v/>
      </c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4" t="str">
        <f t="shared" si="2"/>
        <v/>
      </c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4" t="str">
        <f t="shared" si="2"/>
        <v/>
      </c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4" t="str">
        <f t="shared" si="2"/>
        <v/>
      </c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4" t="str">
        <f t="shared" si="2"/>
        <v/>
      </c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4" t="str">
        <f t="shared" si="2"/>
        <v/>
      </c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4" t="str">
        <f t="shared" si="2"/>
        <v/>
      </c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4" t="str">
        <f t="shared" si="2"/>
        <v/>
      </c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4" t="str">
        <f t="shared" si="2"/>
        <v/>
      </c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4" t="str">
        <f t="shared" ref="K101:K132" si="3">IF(A101="","",ROUND(COUNTA(C101:J101)/8,2))</f>
        <v/>
      </c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4" t="str">
        <f t="shared" si="3"/>
        <v/>
      </c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4" t="str">
        <f t="shared" si="3"/>
        <v/>
      </c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4" t="str">
        <f t="shared" si="3"/>
        <v/>
      </c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4" t="str">
        <f t="shared" si="3"/>
        <v/>
      </c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4" t="str">
        <f t="shared" si="3"/>
        <v/>
      </c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4" t="str">
        <f t="shared" si="3"/>
        <v/>
      </c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4" t="str">
        <f t="shared" si="3"/>
        <v/>
      </c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4" t="str">
        <f t="shared" si="3"/>
        <v/>
      </c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4" t="str">
        <f t="shared" si="3"/>
        <v/>
      </c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4" t="str">
        <f t="shared" si="3"/>
        <v/>
      </c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4" t="str">
        <f t="shared" si="3"/>
        <v/>
      </c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4" t="str">
        <f t="shared" si="3"/>
        <v/>
      </c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4" t="str">
        <f t="shared" si="3"/>
        <v/>
      </c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4" t="str">
        <f t="shared" si="3"/>
        <v/>
      </c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4" t="str">
        <f t="shared" si="3"/>
        <v/>
      </c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4" t="str">
        <f t="shared" si="3"/>
        <v/>
      </c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4" t="str">
        <f t="shared" si="3"/>
        <v/>
      </c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4" t="str">
        <f t="shared" si="3"/>
        <v/>
      </c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4" t="str">
        <f t="shared" si="3"/>
        <v/>
      </c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4" t="str">
        <f t="shared" si="3"/>
        <v/>
      </c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4" t="str">
        <f t="shared" si="3"/>
        <v/>
      </c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4" t="str">
        <f t="shared" si="3"/>
        <v/>
      </c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4" t="str">
        <f t="shared" si="3"/>
        <v/>
      </c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4" t="str">
        <f t="shared" si="3"/>
        <v/>
      </c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4" t="str">
        <f t="shared" si="3"/>
        <v/>
      </c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4" t="str">
        <f t="shared" si="3"/>
        <v/>
      </c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4" t="str">
        <f t="shared" si="3"/>
        <v/>
      </c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4" t="str">
        <f t="shared" si="3"/>
        <v/>
      </c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4" t="str">
        <f t="shared" si="3"/>
        <v/>
      </c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4" t="str">
        <f t="shared" si="3"/>
        <v/>
      </c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4" t="str">
        <f t="shared" si="3"/>
        <v/>
      </c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4" t="str">
        <f t="shared" ref="K133:K164" si="4">IF(A133="","",ROUND(COUNTA(C133:J133)/8,2))</f>
        <v/>
      </c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4" t="str">
        <f t="shared" si="4"/>
        <v/>
      </c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4" t="str">
        <f t="shared" si="4"/>
        <v/>
      </c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4" t="str">
        <f t="shared" si="4"/>
        <v/>
      </c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4" t="str">
        <f t="shared" si="4"/>
        <v/>
      </c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4" t="str">
        <f t="shared" si="4"/>
        <v/>
      </c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4" t="str">
        <f t="shared" si="4"/>
        <v/>
      </c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4" t="str">
        <f t="shared" si="4"/>
        <v/>
      </c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4" t="str">
        <f t="shared" si="4"/>
        <v/>
      </c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4" t="str">
        <f t="shared" si="4"/>
        <v/>
      </c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4" t="str">
        <f t="shared" si="4"/>
        <v/>
      </c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4" t="str">
        <f t="shared" si="4"/>
        <v/>
      </c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4" t="str">
        <f t="shared" si="4"/>
        <v/>
      </c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4" t="str">
        <f t="shared" si="4"/>
        <v/>
      </c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4" t="str">
        <f t="shared" si="4"/>
        <v/>
      </c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4" t="str">
        <f t="shared" si="4"/>
        <v/>
      </c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4" t="str">
        <f t="shared" si="4"/>
        <v/>
      </c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4" t="str">
        <f t="shared" si="4"/>
        <v/>
      </c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4" t="str">
        <f t="shared" si="4"/>
        <v/>
      </c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4" t="str">
        <f t="shared" si="4"/>
        <v/>
      </c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4" t="str">
        <f t="shared" si="4"/>
        <v/>
      </c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4" t="str">
        <f t="shared" si="4"/>
        <v/>
      </c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4" t="str">
        <f t="shared" si="4"/>
        <v/>
      </c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4" t="str">
        <f t="shared" si="4"/>
        <v/>
      </c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4" t="str">
        <f t="shared" si="4"/>
        <v/>
      </c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4" t="str">
        <f t="shared" si="4"/>
        <v/>
      </c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4" t="str">
        <f t="shared" si="4"/>
        <v/>
      </c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4" t="str">
        <f t="shared" si="4"/>
        <v/>
      </c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4" t="str">
        <f t="shared" si="4"/>
        <v/>
      </c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4" t="str">
        <f t="shared" si="4"/>
        <v/>
      </c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4" t="str">
        <f t="shared" si="4"/>
        <v/>
      </c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4" t="str">
        <f t="shared" si="4"/>
        <v/>
      </c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4" t="str">
        <f t="shared" ref="K165:K196" si="5">IF(A165="","",ROUND(COUNTA(C165:J165)/8,2))</f>
        <v/>
      </c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4" t="str">
        <f t="shared" si="5"/>
        <v/>
      </c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4" t="str">
        <f t="shared" si="5"/>
        <v/>
      </c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4" t="str">
        <f t="shared" si="5"/>
        <v/>
      </c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4" t="str">
        <f t="shared" si="5"/>
        <v/>
      </c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4" t="str">
        <f t="shared" si="5"/>
        <v/>
      </c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4" t="str">
        <f t="shared" si="5"/>
        <v/>
      </c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4" t="str">
        <f t="shared" si="5"/>
        <v/>
      </c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4" t="str">
        <f t="shared" si="5"/>
        <v/>
      </c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4" t="str">
        <f t="shared" si="5"/>
        <v/>
      </c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4" t="str">
        <f t="shared" si="5"/>
        <v/>
      </c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4" t="str">
        <f t="shared" si="5"/>
        <v/>
      </c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4" t="str">
        <f t="shared" si="5"/>
        <v/>
      </c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4" t="str">
        <f t="shared" si="5"/>
        <v/>
      </c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4" t="str">
        <f t="shared" si="5"/>
        <v/>
      </c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4" t="str">
        <f t="shared" si="5"/>
        <v/>
      </c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4" t="str">
        <f t="shared" si="5"/>
        <v/>
      </c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4" t="str">
        <f t="shared" si="5"/>
        <v/>
      </c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4" t="str">
        <f t="shared" si="5"/>
        <v/>
      </c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4" t="str">
        <f t="shared" si="5"/>
        <v/>
      </c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4" t="str">
        <f t="shared" si="5"/>
        <v/>
      </c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4" t="str">
        <f t="shared" si="5"/>
        <v/>
      </c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4" t="str">
        <f t="shared" si="5"/>
        <v/>
      </c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4" t="str">
        <f t="shared" si="5"/>
        <v/>
      </c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4" t="str">
        <f t="shared" si="5"/>
        <v/>
      </c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4" t="str">
        <f t="shared" si="5"/>
        <v/>
      </c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4" t="str">
        <f t="shared" si="5"/>
        <v/>
      </c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4" t="str">
        <f t="shared" si="5"/>
        <v/>
      </c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4" t="str">
        <f t="shared" si="5"/>
        <v/>
      </c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4" t="str">
        <f t="shared" si="5"/>
        <v/>
      </c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4" t="str">
        <f t="shared" si="5"/>
        <v/>
      </c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4" t="str">
        <f t="shared" si="5"/>
        <v/>
      </c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4" t="str">
        <f t="shared" ref="K197:K228" si="6">IF(A197="","",ROUND(COUNTA(C197:J197)/8,2))</f>
        <v/>
      </c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4" t="str">
        <f t="shared" si="6"/>
        <v/>
      </c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4" t="str">
        <f t="shared" si="6"/>
        <v/>
      </c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4" t="str">
        <f t="shared" si="6"/>
        <v/>
      </c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4" t="str">
        <f t="shared" si="6"/>
        <v/>
      </c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4" t="str">
        <f t="shared" si="6"/>
        <v/>
      </c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4" t="str">
        <f t="shared" si="6"/>
        <v/>
      </c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4" t="str">
        <f t="shared" si="6"/>
        <v/>
      </c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K1"/>
    <mergeCell ref="A2:K2"/>
  </mergeCells>
  <conditionalFormatting sqref="K5:K2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305"/>
  <sheetViews>
    <sheetView workbookViewId="0"/>
  </sheetViews>
  <sheetFormatPr defaultRowHeight="13.5"/>
  <cols>
    <col min="1" max="1" width="12" customWidth="1"/>
    <col min="2" max="2" width="34" customWidth="1"/>
    <col min="3" max="3" width="30" customWidth="1"/>
    <col min="4" max="4" width="28" customWidth="1"/>
    <col min="5" max="5" width="22" customWidth="1"/>
    <col min="6" max="6" width="18" customWidth="1"/>
    <col min="7" max="7" width="34" customWidth="1"/>
    <col min="8" max="9" width="22" customWidth="1"/>
  </cols>
  <sheetData>
    <row r="1" spans="1:21" ht="16.05" customHeight="1">
      <c r="A1" s="6" t="s">
        <v>159</v>
      </c>
      <c r="B1" s="6"/>
      <c r="C1" s="6"/>
      <c r="D1" s="6"/>
      <c r="E1" s="6"/>
      <c r="F1" s="6"/>
      <c r="G1" s="6"/>
      <c r="H1" s="6"/>
      <c r="I1" s="6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05" customHeight="1">
      <c r="A2" s="7" t="s">
        <v>160</v>
      </c>
      <c r="B2" s="7"/>
      <c r="C2" s="7"/>
      <c r="D2" s="7"/>
      <c r="E2" s="7"/>
      <c r="F2" s="7"/>
      <c r="G2" s="7"/>
      <c r="H2" s="7"/>
      <c r="I2" s="7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05" customHeight="1">
      <c r="A4" s="3" t="s">
        <v>89</v>
      </c>
      <c r="B4" s="3" t="s">
        <v>161</v>
      </c>
      <c r="C4" s="3" t="s">
        <v>162</v>
      </c>
      <c r="D4" s="3" t="s">
        <v>122</v>
      </c>
      <c r="E4" s="3" t="s">
        <v>163</v>
      </c>
      <c r="F4" s="3" t="s">
        <v>164</v>
      </c>
      <c r="G4" s="3" t="s">
        <v>165</v>
      </c>
      <c r="H4" s="3" t="s">
        <v>166</v>
      </c>
      <c r="I4" s="3" t="s">
        <v>167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2" t="s">
        <v>107</v>
      </c>
      <c r="B5" s="2" t="s">
        <v>714</v>
      </c>
      <c r="C5" s="2" t="s">
        <v>715</v>
      </c>
      <c r="D5" s="2" t="s">
        <v>716</v>
      </c>
      <c r="E5" s="2" t="s">
        <v>717</v>
      </c>
      <c r="F5" s="2" t="s">
        <v>110</v>
      </c>
      <c r="G5" s="2" t="s">
        <v>718</v>
      </c>
      <c r="H5" s="2" t="s">
        <v>719</v>
      </c>
      <c r="I5" s="2" t="s">
        <v>720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2" t="s">
        <v>114</v>
      </c>
      <c r="B6" s="2" t="s">
        <v>721</v>
      </c>
      <c r="C6" s="2" t="s">
        <v>722</v>
      </c>
      <c r="D6" s="2" t="s">
        <v>716</v>
      </c>
      <c r="E6" s="2" t="s">
        <v>717</v>
      </c>
      <c r="F6" s="2" t="s">
        <v>110</v>
      </c>
      <c r="G6" s="2" t="s">
        <v>718</v>
      </c>
      <c r="H6" s="2" t="s">
        <v>723</v>
      </c>
      <c r="I6" s="2" t="s">
        <v>724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 t="s">
        <v>484</v>
      </c>
      <c r="B7" s="2" t="s">
        <v>667</v>
      </c>
      <c r="C7" s="2" t="s">
        <v>725</v>
      </c>
      <c r="D7" s="2" t="s">
        <v>716</v>
      </c>
      <c r="E7" s="2" t="s">
        <v>726</v>
      </c>
      <c r="F7" s="2" t="s">
        <v>110</v>
      </c>
      <c r="G7" s="2" t="s">
        <v>727</v>
      </c>
      <c r="H7" s="2" t="s">
        <v>728</v>
      </c>
      <c r="I7" s="2" t="s">
        <v>720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494</v>
      </c>
      <c r="B8" s="2" t="s">
        <v>729</v>
      </c>
      <c r="C8" s="2" t="s">
        <v>730</v>
      </c>
      <c r="D8" s="2" t="s">
        <v>731</v>
      </c>
      <c r="E8" s="2" t="s">
        <v>717</v>
      </c>
      <c r="F8" s="2" t="s">
        <v>110</v>
      </c>
      <c r="G8" s="2" t="s">
        <v>732</v>
      </c>
      <c r="H8" s="2" t="s">
        <v>719</v>
      </c>
      <c r="I8" s="2" t="s">
        <v>724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 t="s">
        <v>513</v>
      </c>
      <c r="B9" s="2" t="s">
        <v>733</v>
      </c>
      <c r="C9" s="2" t="s">
        <v>734</v>
      </c>
      <c r="D9" s="2" t="s">
        <v>716</v>
      </c>
      <c r="E9" s="2" t="s">
        <v>735</v>
      </c>
      <c r="F9" s="2" t="s">
        <v>254</v>
      </c>
      <c r="G9" s="2" t="s">
        <v>736</v>
      </c>
      <c r="H9" s="2" t="s">
        <v>169</v>
      </c>
      <c r="I9" s="2" t="s">
        <v>720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534</v>
      </c>
      <c r="B10" s="2" t="s">
        <v>737</v>
      </c>
      <c r="C10" s="2" t="s">
        <v>738</v>
      </c>
      <c r="D10" s="2" t="s">
        <v>716</v>
      </c>
      <c r="E10" s="2" t="s">
        <v>739</v>
      </c>
      <c r="F10" s="2" t="s">
        <v>254</v>
      </c>
      <c r="G10" s="2" t="s">
        <v>718</v>
      </c>
      <c r="H10" s="2" t="s">
        <v>740</v>
      </c>
      <c r="I10" s="2" t="s">
        <v>738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 t="s">
        <v>544</v>
      </c>
      <c r="B11" s="2" t="s">
        <v>741</v>
      </c>
      <c r="C11" s="2" t="s">
        <v>742</v>
      </c>
      <c r="D11" s="2" t="s">
        <v>716</v>
      </c>
      <c r="E11" s="2" t="s">
        <v>717</v>
      </c>
      <c r="F11" s="2" t="s">
        <v>110</v>
      </c>
      <c r="G11" s="2" t="s">
        <v>743</v>
      </c>
      <c r="H11" s="2" t="s">
        <v>744</v>
      </c>
      <c r="I11" s="2" t="s">
        <v>724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7">
      <c r="A12" s="2" t="s">
        <v>564</v>
      </c>
      <c r="B12" s="2" t="s">
        <v>745</v>
      </c>
      <c r="C12" s="2" t="s">
        <v>722</v>
      </c>
      <c r="D12" s="2" t="s">
        <v>731</v>
      </c>
      <c r="E12" s="2" t="s">
        <v>717</v>
      </c>
      <c r="F12" s="2" t="s">
        <v>254</v>
      </c>
      <c r="G12" s="2" t="s">
        <v>746</v>
      </c>
      <c r="H12" s="2" t="s">
        <v>719</v>
      </c>
      <c r="I12" s="2" t="s">
        <v>724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I1"/>
    <mergeCell ref="A2:I2"/>
  </mergeCells>
  <dataValidations count="1">
    <dataValidation type="list" sqref="D5:D204" xr:uid="{00000000-0002-0000-0800-000000000000}">
      <formula1>"Обязательно для первой версии,Желательно для первой версии,Следующий выпуск,Отложить,Исключить"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305"/>
  <sheetViews>
    <sheetView workbookViewId="0"/>
  </sheetViews>
  <sheetFormatPr defaultRowHeight="13.5"/>
  <cols>
    <col min="1" max="1" width="12" customWidth="1"/>
    <col min="2" max="2" width="24" customWidth="1"/>
    <col min="3" max="3" width="18" customWidth="1"/>
    <col min="4" max="4" width="14" customWidth="1"/>
    <col min="5" max="5" width="12" customWidth="1"/>
    <col min="6" max="6" width="40" customWidth="1"/>
    <col min="7" max="7" width="32" customWidth="1"/>
    <col min="8" max="8" width="30" customWidth="1"/>
    <col min="9" max="9" width="42" customWidth="1"/>
    <col min="10" max="10" width="28" customWidth="1"/>
    <col min="11" max="11" width="30" customWidth="1"/>
    <col min="12" max="12" width="34" customWidth="1"/>
    <col min="13" max="13" width="30" customWidth="1"/>
    <col min="14" max="14" width="16" customWidth="1"/>
    <col min="15" max="15" width="22" customWidth="1"/>
  </cols>
  <sheetData>
    <row r="1" spans="1:21" ht="16.05" customHeight="1">
      <c r="A1" s="6" t="s">
        <v>170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2"/>
      <c r="Q1" s="2"/>
      <c r="R1" s="2"/>
      <c r="S1" s="2"/>
      <c r="T1" s="2"/>
      <c r="U1" s="2"/>
    </row>
    <row r="2" spans="1:21" ht="16.05" customHeight="1">
      <c r="A2" s="7" t="s">
        <v>171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05" customHeight="1">
      <c r="A4" s="3" t="s">
        <v>89</v>
      </c>
      <c r="B4" s="3" t="s">
        <v>91</v>
      </c>
      <c r="C4" s="3" t="s">
        <v>90</v>
      </c>
      <c r="D4" s="3" t="s">
        <v>70</v>
      </c>
      <c r="E4" s="3" t="s">
        <v>55</v>
      </c>
      <c r="F4" s="3" t="s">
        <v>92</v>
      </c>
      <c r="G4" s="3" t="s">
        <v>172</v>
      </c>
      <c r="H4" s="3" t="s">
        <v>173</v>
      </c>
      <c r="I4" s="3" t="s">
        <v>174</v>
      </c>
      <c r="J4" s="3" t="s">
        <v>98</v>
      </c>
      <c r="K4" s="3" t="s">
        <v>175</v>
      </c>
      <c r="L4" s="3" t="s">
        <v>176</v>
      </c>
      <c r="M4" s="3" t="s">
        <v>177</v>
      </c>
      <c r="N4" s="3" t="s">
        <v>178</v>
      </c>
      <c r="O4" s="3" t="s">
        <v>179</v>
      </c>
      <c r="P4" s="2"/>
      <c r="Q4" s="2"/>
      <c r="R4" s="2"/>
      <c r="S4" s="2"/>
      <c r="T4" s="2"/>
      <c r="U4" s="2"/>
    </row>
    <row r="5" spans="1:21" ht="40.5">
      <c r="A5" s="2" t="s">
        <v>484</v>
      </c>
      <c r="B5" s="2" t="s">
        <v>485</v>
      </c>
      <c r="C5" s="2" t="s">
        <v>108</v>
      </c>
      <c r="D5" s="2" t="s">
        <v>85</v>
      </c>
      <c r="E5" s="2" t="s">
        <v>47</v>
      </c>
      <c r="F5" s="2" t="s">
        <v>486</v>
      </c>
      <c r="G5" s="2" t="s">
        <v>487</v>
      </c>
      <c r="H5" s="2" t="s">
        <v>747</v>
      </c>
      <c r="I5" s="2" t="s">
        <v>491</v>
      </c>
      <c r="J5" s="2" t="s">
        <v>748</v>
      </c>
      <c r="K5" s="2" t="s">
        <v>749</v>
      </c>
      <c r="L5" s="2" t="s">
        <v>750</v>
      </c>
      <c r="M5" s="2" t="s">
        <v>751</v>
      </c>
      <c r="N5" s="4">
        <f t="shared" ref="N5:N68" si="0">IF(A5="","",ROUND(COUNTA(B5:M5)/12,2))</f>
        <v>1</v>
      </c>
      <c r="O5" s="2" t="str">
        <f t="shared" ref="O5:O68" si="1">IF(A5="","",IF(N5&gt;=0.85,"Готов к прототипу",IF(N5&gt;=0.6,"Требует доработки","Недостаточно данных")))</f>
        <v>Готов к прототипу</v>
      </c>
      <c r="P5" s="2"/>
      <c r="Q5" s="2"/>
      <c r="R5" s="2"/>
      <c r="S5" s="2"/>
      <c r="T5" s="2"/>
      <c r="U5" s="2"/>
    </row>
    <row r="6" spans="1:21" ht="27">
      <c r="A6" s="2" t="s">
        <v>504</v>
      </c>
      <c r="B6" s="2" t="s">
        <v>505</v>
      </c>
      <c r="C6" s="2" t="s">
        <v>108</v>
      </c>
      <c r="D6" s="2" t="s">
        <v>48</v>
      </c>
      <c r="E6" s="2" t="s">
        <v>51</v>
      </c>
      <c r="F6" s="2" t="s">
        <v>752</v>
      </c>
      <c r="G6" s="2" t="s">
        <v>507</v>
      </c>
      <c r="H6" s="2" t="s">
        <v>753</v>
      </c>
      <c r="I6" s="2" t="s">
        <v>754</v>
      </c>
      <c r="J6" s="2" t="s">
        <v>755</v>
      </c>
      <c r="K6" s="2" t="s">
        <v>756</v>
      </c>
      <c r="L6" s="2" t="s">
        <v>757</v>
      </c>
      <c r="M6" s="2" t="s">
        <v>415</v>
      </c>
      <c r="N6" s="4">
        <f t="shared" si="0"/>
        <v>1</v>
      </c>
      <c r="O6" s="2" t="str">
        <f t="shared" si="1"/>
        <v>Готов к прототипу</v>
      </c>
      <c r="P6" s="2"/>
      <c r="Q6" s="2"/>
      <c r="R6" s="2"/>
      <c r="S6" s="2"/>
      <c r="T6" s="2"/>
      <c r="U6" s="2"/>
    </row>
    <row r="7" spans="1:21" ht="27">
      <c r="A7" s="2" t="s">
        <v>513</v>
      </c>
      <c r="B7" s="2" t="s">
        <v>514</v>
      </c>
      <c r="C7" s="2" t="s">
        <v>108</v>
      </c>
      <c r="D7" s="2" t="s">
        <v>353</v>
      </c>
      <c r="E7" s="2" t="s">
        <v>352</v>
      </c>
      <c r="F7" s="2" t="s">
        <v>758</v>
      </c>
      <c r="G7" s="2" t="s">
        <v>759</v>
      </c>
      <c r="H7" s="2" t="s">
        <v>517</v>
      </c>
      <c r="I7" s="2" t="s">
        <v>760</v>
      </c>
      <c r="J7" s="2" t="s">
        <v>521</v>
      </c>
      <c r="K7" s="2" t="s">
        <v>761</v>
      </c>
      <c r="L7" s="2" t="s">
        <v>762</v>
      </c>
      <c r="M7" s="2" t="s">
        <v>763</v>
      </c>
      <c r="N7" s="4">
        <f t="shared" si="0"/>
        <v>1</v>
      </c>
      <c r="O7" s="2" t="str">
        <f t="shared" si="1"/>
        <v>Готов к прототипу</v>
      </c>
      <c r="P7" s="2"/>
      <c r="Q7" s="2"/>
      <c r="R7" s="2"/>
      <c r="S7" s="2"/>
      <c r="T7" s="2"/>
      <c r="U7" s="2"/>
    </row>
    <row r="8" spans="1:21" ht="27">
      <c r="A8" s="2" t="s">
        <v>534</v>
      </c>
      <c r="B8" s="2" t="s">
        <v>535</v>
      </c>
      <c r="C8" s="2" t="s">
        <v>115</v>
      </c>
      <c r="D8" s="2" t="s">
        <v>418</v>
      </c>
      <c r="E8" s="2" t="s">
        <v>51</v>
      </c>
      <c r="F8" s="2" t="s">
        <v>764</v>
      </c>
      <c r="G8" s="2" t="s">
        <v>765</v>
      </c>
      <c r="H8" s="2" t="s">
        <v>766</v>
      </c>
      <c r="I8" s="2" t="s">
        <v>540</v>
      </c>
      <c r="J8" s="2" t="s">
        <v>541</v>
      </c>
      <c r="K8" s="2" t="s">
        <v>767</v>
      </c>
      <c r="L8" s="2" t="s">
        <v>768</v>
      </c>
      <c r="M8" s="2" t="s">
        <v>769</v>
      </c>
      <c r="N8" s="4">
        <f t="shared" si="0"/>
        <v>1</v>
      </c>
      <c r="O8" s="2" t="str">
        <f t="shared" si="1"/>
        <v>Готов к прототипу</v>
      </c>
      <c r="P8" s="2"/>
      <c r="Q8" s="2"/>
      <c r="R8" s="2"/>
      <c r="S8" s="2"/>
      <c r="T8" s="2"/>
      <c r="U8" s="2"/>
    </row>
    <row r="9" spans="1:21" ht="27">
      <c r="A9" s="2" t="s">
        <v>544</v>
      </c>
      <c r="B9" s="2" t="s">
        <v>545</v>
      </c>
      <c r="C9" s="2" t="s">
        <v>115</v>
      </c>
      <c r="D9" s="2" t="s">
        <v>369</v>
      </c>
      <c r="E9" s="2" t="s">
        <v>51</v>
      </c>
      <c r="F9" s="2" t="s">
        <v>546</v>
      </c>
      <c r="G9" s="2" t="s">
        <v>770</v>
      </c>
      <c r="H9" s="2" t="s">
        <v>771</v>
      </c>
      <c r="I9" s="2" t="s">
        <v>772</v>
      </c>
      <c r="J9" s="2" t="s">
        <v>773</v>
      </c>
      <c r="K9" s="2" t="s">
        <v>774</v>
      </c>
      <c r="L9" s="2" t="s">
        <v>775</v>
      </c>
      <c r="M9" s="2" t="s">
        <v>776</v>
      </c>
      <c r="N9" s="4">
        <f t="shared" si="0"/>
        <v>1</v>
      </c>
      <c r="O9" s="2" t="str">
        <f t="shared" si="1"/>
        <v>Готов к прототипу</v>
      </c>
      <c r="P9" s="2"/>
      <c r="Q9" s="2"/>
      <c r="R9" s="2"/>
      <c r="S9" s="2"/>
      <c r="T9" s="2"/>
      <c r="U9" s="2"/>
    </row>
    <row r="10" spans="1:21" ht="27">
      <c r="A10" s="2" t="s">
        <v>574</v>
      </c>
      <c r="B10" s="2" t="s">
        <v>575</v>
      </c>
      <c r="C10" s="2" t="s">
        <v>115</v>
      </c>
      <c r="D10" s="2" t="s">
        <v>353</v>
      </c>
      <c r="E10" s="2" t="s">
        <v>352</v>
      </c>
      <c r="F10" s="2" t="s">
        <v>777</v>
      </c>
      <c r="G10" s="2" t="s">
        <v>577</v>
      </c>
      <c r="H10" s="2" t="s">
        <v>778</v>
      </c>
      <c r="I10" s="2" t="s">
        <v>580</v>
      </c>
      <c r="J10" s="2" t="s">
        <v>581</v>
      </c>
      <c r="K10" s="2" t="s">
        <v>779</v>
      </c>
      <c r="L10" s="2" t="s">
        <v>780</v>
      </c>
      <c r="M10" s="2" t="s">
        <v>781</v>
      </c>
      <c r="N10" s="4">
        <f t="shared" si="0"/>
        <v>1</v>
      </c>
      <c r="O10" s="2" t="str">
        <f t="shared" si="1"/>
        <v>Готов к прототипу</v>
      </c>
      <c r="P10" s="2"/>
      <c r="Q10" s="2"/>
      <c r="R10" s="2"/>
      <c r="S10" s="2"/>
      <c r="T10" s="2"/>
      <c r="U10" s="2"/>
    </row>
    <row r="11" spans="1:2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4" t="str">
        <f t="shared" si="0"/>
        <v/>
      </c>
      <c r="O11" s="2" t="str">
        <f t="shared" si="1"/>
        <v/>
      </c>
      <c r="P11" s="2"/>
      <c r="Q11" s="2"/>
      <c r="R11" s="2"/>
      <c r="S11" s="2"/>
      <c r="T11" s="2"/>
      <c r="U11" s="2"/>
    </row>
    <row r="12" spans="1:2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4" t="str">
        <f t="shared" si="0"/>
        <v/>
      </c>
      <c r="O12" s="2" t="str">
        <f t="shared" si="1"/>
        <v/>
      </c>
      <c r="P12" s="2"/>
      <c r="Q12" s="2"/>
      <c r="R12" s="2"/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4" t="str">
        <f t="shared" si="0"/>
        <v/>
      </c>
      <c r="O13" s="2" t="str">
        <f t="shared" si="1"/>
        <v/>
      </c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4" t="str">
        <f t="shared" si="0"/>
        <v/>
      </c>
      <c r="O14" s="2" t="str">
        <f t="shared" si="1"/>
        <v/>
      </c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4" t="str">
        <f t="shared" si="0"/>
        <v/>
      </c>
      <c r="O15" s="2" t="str">
        <f t="shared" si="1"/>
        <v/>
      </c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4" t="str">
        <f t="shared" si="0"/>
        <v/>
      </c>
      <c r="O16" s="2" t="str">
        <f t="shared" si="1"/>
        <v/>
      </c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4" t="str">
        <f t="shared" si="0"/>
        <v/>
      </c>
      <c r="O17" s="2" t="str">
        <f t="shared" si="1"/>
        <v/>
      </c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4" t="str">
        <f t="shared" si="0"/>
        <v/>
      </c>
      <c r="O18" s="2" t="str">
        <f t="shared" si="1"/>
        <v/>
      </c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4" t="str">
        <f t="shared" si="0"/>
        <v/>
      </c>
      <c r="O19" s="2" t="str">
        <f t="shared" si="1"/>
        <v/>
      </c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4" t="str">
        <f t="shared" si="0"/>
        <v/>
      </c>
      <c r="O20" s="2" t="str">
        <f t="shared" si="1"/>
        <v/>
      </c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4" t="str">
        <f t="shared" si="0"/>
        <v/>
      </c>
      <c r="O21" s="2" t="str">
        <f t="shared" si="1"/>
        <v/>
      </c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4" t="str">
        <f t="shared" si="0"/>
        <v/>
      </c>
      <c r="O22" s="2" t="str">
        <f t="shared" si="1"/>
        <v/>
      </c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4" t="str">
        <f t="shared" si="0"/>
        <v/>
      </c>
      <c r="O23" s="2" t="str">
        <f t="shared" si="1"/>
        <v/>
      </c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4" t="str">
        <f t="shared" si="0"/>
        <v/>
      </c>
      <c r="O24" s="2" t="str">
        <f t="shared" si="1"/>
        <v/>
      </c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4" t="str">
        <f t="shared" si="0"/>
        <v/>
      </c>
      <c r="O25" s="2" t="str">
        <f t="shared" si="1"/>
        <v/>
      </c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4" t="str">
        <f t="shared" si="0"/>
        <v/>
      </c>
      <c r="O26" s="2" t="str">
        <f t="shared" si="1"/>
        <v/>
      </c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4" t="str">
        <f t="shared" si="0"/>
        <v/>
      </c>
      <c r="O27" s="2" t="str">
        <f t="shared" si="1"/>
        <v/>
      </c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4" t="str">
        <f t="shared" si="0"/>
        <v/>
      </c>
      <c r="O28" s="2" t="str">
        <f t="shared" si="1"/>
        <v/>
      </c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4" t="str">
        <f t="shared" si="0"/>
        <v/>
      </c>
      <c r="O29" s="2" t="str">
        <f t="shared" si="1"/>
        <v/>
      </c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4" t="str">
        <f t="shared" si="0"/>
        <v/>
      </c>
      <c r="O30" s="2" t="str">
        <f t="shared" si="1"/>
        <v/>
      </c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4" t="str">
        <f t="shared" si="0"/>
        <v/>
      </c>
      <c r="O31" s="2" t="str">
        <f t="shared" si="1"/>
        <v/>
      </c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4" t="str">
        <f t="shared" si="0"/>
        <v/>
      </c>
      <c r="O32" s="2" t="str">
        <f t="shared" si="1"/>
        <v/>
      </c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4" t="str">
        <f t="shared" si="0"/>
        <v/>
      </c>
      <c r="O33" s="2" t="str">
        <f t="shared" si="1"/>
        <v/>
      </c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4" t="str">
        <f t="shared" si="0"/>
        <v/>
      </c>
      <c r="O34" s="2" t="str">
        <f t="shared" si="1"/>
        <v/>
      </c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4" t="str">
        <f t="shared" si="0"/>
        <v/>
      </c>
      <c r="O35" s="2" t="str">
        <f t="shared" si="1"/>
        <v/>
      </c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4" t="str">
        <f t="shared" si="0"/>
        <v/>
      </c>
      <c r="O36" s="2" t="str">
        <f t="shared" si="1"/>
        <v/>
      </c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4" t="str">
        <f t="shared" si="0"/>
        <v/>
      </c>
      <c r="O37" s="2" t="str">
        <f t="shared" si="1"/>
        <v/>
      </c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4" t="str">
        <f t="shared" si="0"/>
        <v/>
      </c>
      <c r="O38" s="2" t="str">
        <f t="shared" si="1"/>
        <v/>
      </c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4" t="str">
        <f t="shared" si="0"/>
        <v/>
      </c>
      <c r="O39" s="2" t="str">
        <f t="shared" si="1"/>
        <v/>
      </c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4" t="str">
        <f t="shared" si="0"/>
        <v/>
      </c>
      <c r="O40" s="2" t="str">
        <f t="shared" si="1"/>
        <v/>
      </c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4" t="str">
        <f t="shared" si="0"/>
        <v/>
      </c>
      <c r="O41" s="2" t="str">
        <f t="shared" si="1"/>
        <v/>
      </c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4" t="str">
        <f t="shared" si="0"/>
        <v/>
      </c>
      <c r="O42" s="2" t="str">
        <f t="shared" si="1"/>
        <v/>
      </c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4" t="str">
        <f t="shared" si="0"/>
        <v/>
      </c>
      <c r="O43" s="2" t="str">
        <f t="shared" si="1"/>
        <v/>
      </c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4" t="str">
        <f t="shared" si="0"/>
        <v/>
      </c>
      <c r="O44" s="2" t="str">
        <f t="shared" si="1"/>
        <v/>
      </c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4" t="str">
        <f t="shared" si="0"/>
        <v/>
      </c>
      <c r="O45" s="2" t="str">
        <f t="shared" si="1"/>
        <v/>
      </c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4" t="str">
        <f t="shared" si="0"/>
        <v/>
      </c>
      <c r="O46" s="2" t="str">
        <f t="shared" si="1"/>
        <v/>
      </c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4" t="str">
        <f t="shared" si="0"/>
        <v/>
      </c>
      <c r="O47" s="2" t="str">
        <f t="shared" si="1"/>
        <v/>
      </c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4" t="str">
        <f t="shared" si="0"/>
        <v/>
      </c>
      <c r="O48" s="2" t="str">
        <f t="shared" si="1"/>
        <v/>
      </c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4" t="str">
        <f t="shared" si="0"/>
        <v/>
      </c>
      <c r="O49" s="2" t="str">
        <f t="shared" si="1"/>
        <v/>
      </c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4" t="str">
        <f t="shared" si="0"/>
        <v/>
      </c>
      <c r="O50" s="2" t="str">
        <f t="shared" si="1"/>
        <v/>
      </c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4" t="str">
        <f t="shared" si="0"/>
        <v/>
      </c>
      <c r="O51" s="2" t="str">
        <f t="shared" si="1"/>
        <v/>
      </c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4" t="str">
        <f t="shared" si="0"/>
        <v/>
      </c>
      <c r="O52" s="2" t="str">
        <f t="shared" si="1"/>
        <v/>
      </c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4" t="str">
        <f t="shared" si="0"/>
        <v/>
      </c>
      <c r="O53" s="2" t="str">
        <f t="shared" si="1"/>
        <v/>
      </c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4" t="str">
        <f t="shared" si="0"/>
        <v/>
      </c>
      <c r="O54" s="2" t="str">
        <f t="shared" si="1"/>
        <v/>
      </c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4" t="str">
        <f t="shared" si="0"/>
        <v/>
      </c>
      <c r="O55" s="2" t="str">
        <f t="shared" si="1"/>
        <v/>
      </c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4" t="str">
        <f t="shared" si="0"/>
        <v/>
      </c>
      <c r="O56" s="2" t="str">
        <f t="shared" si="1"/>
        <v/>
      </c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4" t="str">
        <f t="shared" si="0"/>
        <v/>
      </c>
      <c r="O57" s="2" t="str">
        <f t="shared" si="1"/>
        <v/>
      </c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4" t="str">
        <f t="shared" si="0"/>
        <v/>
      </c>
      <c r="O58" s="2" t="str">
        <f t="shared" si="1"/>
        <v/>
      </c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4" t="str">
        <f t="shared" si="0"/>
        <v/>
      </c>
      <c r="O59" s="2" t="str">
        <f t="shared" si="1"/>
        <v/>
      </c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4" t="str">
        <f t="shared" si="0"/>
        <v/>
      </c>
      <c r="O60" s="2" t="str">
        <f t="shared" si="1"/>
        <v/>
      </c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4" t="str">
        <f t="shared" si="0"/>
        <v/>
      </c>
      <c r="O61" s="2" t="str">
        <f t="shared" si="1"/>
        <v/>
      </c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4" t="str">
        <f t="shared" si="0"/>
        <v/>
      </c>
      <c r="O62" s="2" t="str">
        <f t="shared" si="1"/>
        <v/>
      </c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4" t="str">
        <f t="shared" si="0"/>
        <v/>
      </c>
      <c r="O63" s="2" t="str">
        <f t="shared" si="1"/>
        <v/>
      </c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4" t="str">
        <f t="shared" si="0"/>
        <v/>
      </c>
      <c r="O64" s="2" t="str">
        <f t="shared" si="1"/>
        <v/>
      </c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4" t="str">
        <f t="shared" si="0"/>
        <v/>
      </c>
      <c r="O65" s="2" t="str">
        <f t="shared" si="1"/>
        <v/>
      </c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4" t="str">
        <f t="shared" si="0"/>
        <v/>
      </c>
      <c r="O66" s="2" t="str">
        <f t="shared" si="1"/>
        <v/>
      </c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4" t="str">
        <f t="shared" si="0"/>
        <v/>
      </c>
      <c r="O67" s="2" t="str">
        <f t="shared" si="1"/>
        <v/>
      </c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4" t="str">
        <f t="shared" si="0"/>
        <v/>
      </c>
      <c r="O68" s="2" t="str">
        <f t="shared" si="1"/>
        <v/>
      </c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4" t="str">
        <f t="shared" ref="N69:N132" si="2">IF(A69="","",ROUND(COUNTA(B69:M69)/12,2))</f>
        <v/>
      </c>
      <c r="O69" s="2" t="str">
        <f t="shared" ref="O69:O132" si="3">IF(A69="","",IF(N69&gt;=0.85,"Готов к прототипу",IF(N69&gt;=0.6,"Требует доработки","Недостаточно данных")))</f>
        <v/>
      </c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4" t="str">
        <f t="shared" si="2"/>
        <v/>
      </c>
      <c r="O70" s="2" t="str">
        <f t="shared" si="3"/>
        <v/>
      </c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4" t="str">
        <f t="shared" si="2"/>
        <v/>
      </c>
      <c r="O71" s="2" t="str">
        <f t="shared" si="3"/>
        <v/>
      </c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4" t="str">
        <f t="shared" si="2"/>
        <v/>
      </c>
      <c r="O72" s="2" t="str">
        <f t="shared" si="3"/>
        <v/>
      </c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4" t="str">
        <f t="shared" si="2"/>
        <v/>
      </c>
      <c r="O73" s="2" t="str">
        <f t="shared" si="3"/>
        <v/>
      </c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4" t="str">
        <f t="shared" si="2"/>
        <v/>
      </c>
      <c r="O74" s="2" t="str">
        <f t="shared" si="3"/>
        <v/>
      </c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4" t="str">
        <f t="shared" si="2"/>
        <v/>
      </c>
      <c r="O75" s="2" t="str">
        <f t="shared" si="3"/>
        <v/>
      </c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4" t="str">
        <f t="shared" si="2"/>
        <v/>
      </c>
      <c r="O76" s="2" t="str">
        <f t="shared" si="3"/>
        <v/>
      </c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4" t="str">
        <f t="shared" si="2"/>
        <v/>
      </c>
      <c r="O77" s="2" t="str">
        <f t="shared" si="3"/>
        <v/>
      </c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4" t="str">
        <f t="shared" si="2"/>
        <v/>
      </c>
      <c r="O78" s="2" t="str">
        <f t="shared" si="3"/>
        <v/>
      </c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4" t="str">
        <f t="shared" si="2"/>
        <v/>
      </c>
      <c r="O79" s="2" t="str">
        <f t="shared" si="3"/>
        <v/>
      </c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4" t="str">
        <f t="shared" si="2"/>
        <v/>
      </c>
      <c r="O80" s="2" t="str">
        <f t="shared" si="3"/>
        <v/>
      </c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4" t="str">
        <f t="shared" si="2"/>
        <v/>
      </c>
      <c r="O81" s="2" t="str">
        <f t="shared" si="3"/>
        <v/>
      </c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4" t="str">
        <f t="shared" si="2"/>
        <v/>
      </c>
      <c r="O82" s="2" t="str">
        <f t="shared" si="3"/>
        <v/>
      </c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4" t="str">
        <f t="shared" si="2"/>
        <v/>
      </c>
      <c r="O83" s="2" t="str">
        <f t="shared" si="3"/>
        <v/>
      </c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4" t="str">
        <f t="shared" si="2"/>
        <v/>
      </c>
      <c r="O84" s="2" t="str">
        <f t="shared" si="3"/>
        <v/>
      </c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4" t="str">
        <f t="shared" si="2"/>
        <v/>
      </c>
      <c r="O85" s="2" t="str">
        <f t="shared" si="3"/>
        <v/>
      </c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4" t="str">
        <f t="shared" si="2"/>
        <v/>
      </c>
      <c r="O86" s="2" t="str">
        <f t="shared" si="3"/>
        <v/>
      </c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4" t="str">
        <f t="shared" si="2"/>
        <v/>
      </c>
      <c r="O87" s="2" t="str">
        <f t="shared" si="3"/>
        <v/>
      </c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4" t="str">
        <f t="shared" si="2"/>
        <v/>
      </c>
      <c r="O88" s="2" t="str">
        <f t="shared" si="3"/>
        <v/>
      </c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4" t="str">
        <f t="shared" si="2"/>
        <v/>
      </c>
      <c r="O89" s="2" t="str">
        <f t="shared" si="3"/>
        <v/>
      </c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4" t="str">
        <f t="shared" si="2"/>
        <v/>
      </c>
      <c r="O90" s="2" t="str">
        <f t="shared" si="3"/>
        <v/>
      </c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4" t="str">
        <f t="shared" si="2"/>
        <v/>
      </c>
      <c r="O91" s="2" t="str">
        <f t="shared" si="3"/>
        <v/>
      </c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4" t="str">
        <f t="shared" si="2"/>
        <v/>
      </c>
      <c r="O92" s="2" t="str">
        <f t="shared" si="3"/>
        <v/>
      </c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4" t="str">
        <f t="shared" si="2"/>
        <v/>
      </c>
      <c r="O93" s="2" t="str">
        <f t="shared" si="3"/>
        <v/>
      </c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4" t="str">
        <f t="shared" si="2"/>
        <v/>
      </c>
      <c r="O94" s="2" t="str">
        <f t="shared" si="3"/>
        <v/>
      </c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4" t="str">
        <f t="shared" si="2"/>
        <v/>
      </c>
      <c r="O95" s="2" t="str">
        <f t="shared" si="3"/>
        <v/>
      </c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4" t="str">
        <f t="shared" si="2"/>
        <v/>
      </c>
      <c r="O96" s="2" t="str">
        <f t="shared" si="3"/>
        <v/>
      </c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4" t="str">
        <f t="shared" si="2"/>
        <v/>
      </c>
      <c r="O97" s="2" t="str">
        <f t="shared" si="3"/>
        <v/>
      </c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4" t="str">
        <f t="shared" si="2"/>
        <v/>
      </c>
      <c r="O98" s="2" t="str">
        <f t="shared" si="3"/>
        <v/>
      </c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4" t="str">
        <f t="shared" si="2"/>
        <v/>
      </c>
      <c r="O99" s="2" t="str">
        <f t="shared" si="3"/>
        <v/>
      </c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4" t="str">
        <f t="shared" si="2"/>
        <v/>
      </c>
      <c r="O100" s="2" t="str">
        <f t="shared" si="3"/>
        <v/>
      </c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4" t="str">
        <f t="shared" si="2"/>
        <v/>
      </c>
      <c r="O101" s="2" t="str">
        <f t="shared" si="3"/>
        <v/>
      </c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4" t="str">
        <f t="shared" si="2"/>
        <v/>
      </c>
      <c r="O102" s="2" t="str">
        <f t="shared" si="3"/>
        <v/>
      </c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4" t="str">
        <f t="shared" si="2"/>
        <v/>
      </c>
      <c r="O103" s="2" t="str">
        <f t="shared" si="3"/>
        <v/>
      </c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4" t="str">
        <f t="shared" si="2"/>
        <v/>
      </c>
      <c r="O104" s="2" t="str">
        <f t="shared" si="3"/>
        <v/>
      </c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4" t="str">
        <f t="shared" si="2"/>
        <v/>
      </c>
      <c r="O105" s="2" t="str">
        <f t="shared" si="3"/>
        <v/>
      </c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4" t="str">
        <f t="shared" si="2"/>
        <v/>
      </c>
      <c r="O106" s="2" t="str">
        <f t="shared" si="3"/>
        <v/>
      </c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4" t="str">
        <f t="shared" si="2"/>
        <v/>
      </c>
      <c r="O107" s="2" t="str">
        <f t="shared" si="3"/>
        <v/>
      </c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4" t="str">
        <f t="shared" si="2"/>
        <v/>
      </c>
      <c r="O108" s="2" t="str">
        <f t="shared" si="3"/>
        <v/>
      </c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4" t="str">
        <f t="shared" si="2"/>
        <v/>
      </c>
      <c r="O109" s="2" t="str">
        <f t="shared" si="3"/>
        <v/>
      </c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4" t="str">
        <f t="shared" si="2"/>
        <v/>
      </c>
      <c r="O110" s="2" t="str">
        <f t="shared" si="3"/>
        <v/>
      </c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4" t="str">
        <f t="shared" si="2"/>
        <v/>
      </c>
      <c r="O111" s="2" t="str">
        <f t="shared" si="3"/>
        <v/>
      </c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4" t="str">
        <f t="shared" si="2"/>
        <v/>
      </c>
      <c r="O112" s="2" t="str">
        <f t="shared" si="3"/>
        <v/>
      </c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4" t="str">
        <f t="shared" si="2"/>
        <v/>
      </c>
      <c r="O113" s="2" t="str">
        <f t="shared" si="3"/>
        <v/>
      </c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4" t="str">
        <f t="shared" si="2"/>
        <v/>
      </c>
      <c r="O114" s="2" t="str">
        <f t="shared" si="3"/>
        <v/>
      </c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4" t="str">
        <f t="shared" si="2"/>
        <v/>
      </c>
      <c r="O115" s="2" t="str">
        <f t="shared" si="3"/>
        <v/>
      </c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4" t="str">
        <f t="shared" si="2"/>
        <v/>
      </c>
      <c r="O116" s="2" t="str">
        <f t="shared" si="3"/>
        <v/>
      </c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4" t="str">
        <f t="shared" si="2"/>
        <v/>
      </c>
      <c r="O117" s="2" t="str">
        <f t="shared" si="3"/>
        <v/>
      </c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4" t="str">
        <f t="shared" si="2"/>
        <v/>
      </c>
      <c r="O118" s="2" t="str">
        <f t="shared" si="3"/>
        <v/>
      </c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4" t="str">
        <f t="shared" si="2"/>
        <v/>
      </c>
      <c r="O119" s="2" t="str">
        <f t="shared" si="3"/>
        <v/>
      </c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4" t="str">
        <f t="shared" si="2"/>
        <v/>
      </c>
      <c r="O120" s="2" t="str">
        <f t="shared" si="3"/>
        <v/>
      </c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4" t="str">
        <f t="shared" si="2"/>
        <v/>
      </c>
      <c r="O121" s="2" t="str">
        <f t="shared" si="3"/>
        <v/>
      </c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4" t="str">
        <f t="shared" si="2"/>
        <v/>
      </c>
      <c r="O122" s="2" t="str">
        <f t="shared" si="3"/>
        <v/>
      </c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4" t="str">
        <f t="shared" si="2"/>
        <v/>
      </c>
      <c r="O123" s="2" t="str">
        <f t="shared" si="3"/>
        <v/>
      </c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4" t="str">
        <f t="shared" si="2"/>
        <v/>
      </c>
      <c r="O124" s="2" t="str">
        <f t="shared" si="3"/>
        <v/>
      </c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4" t="str">
        <f t="shared" si="2"/>
        <v/>
      </c>
      <c r="O125" s="2" t="str">
        <f t="shared" si="3"/>
        <v/>
      </c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4" t="str">
        <f t="shared" si="2"/>
        <v/>
      </c>
      <c r="O126" s="2" t="str">
        <f t="shared" si="3"/>
        <v/>
      </c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4" t="str">
        <f t="shared" si="2"/>
        <v/>
      </c>
      <c r="O127" s="2" t="str">
        <f t="shared" si="3"/>
        <v/>
      </c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4" t="str">
        <f t="shared" si="2"/>
        <v/>
      </c>
      <c r="O128" s="2" t="str">
        <f t="shared" si="3"/>
        <v/>
      </c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4" t="str">
        <f t="shared" si="2"/>
        <v/>
      </c>
      <c r="O129" s="2" t="str">
        <f t="shared" si="3"/>
        <v/>
      </c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4" t="str">
        <f t="shared" si="2"/>
        <v/>
      </c>
      <c r="O130" s="2" t="str">
        <f t="shared" si="3"/>
        <v/>
      </c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4" t="str">
        <f t="shared" si="2"/>
        <v/>
      </c>
      <c r="O131" s="2" t="str">
        <f t="shared" si="3"/>
        <v/>
      </c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4" t="str">
        <f t="shared" si="2"/>
        <v/>
      </c>
      <c r="O132" s="2" t="str">
        <f t="shared" si="3"/>
        <v/>
      </c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4" t="str">
        <f t="shared" ref="N133:N196" si="4">IF(A133="","",ROUND(COUNTA(B133:M133)/12,2))</f>
        <v/>
      </c>
      <c r="O133" s="2" t="str">
        <f t="shared" ref="O133:O196" si="5">IF(A133="","",IF(N133&gt;=0.85,"Готов к прототипу",IF(N133&gt;=0.6,"Требует доработки","Недостаточно данных")))</f>
        <v/>
      </c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4" t="str">
        <f t="shared" si="4"/>
        <v/>
      </c>
      <c r="O134" s="2" t="str">
        <f t="shared" si="5"/>
        <v/>
      </c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4" t="str">
        <f t="shared" si="4"/>
        <v/>
      </c>
      <c r="O135" s="2" t="str">
        <f t="shared" si="5"/>
        <v/>
      </c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4" t="str">
        <f t="shared" si="4"/>
        <v/>
      </c>
      <c r="O136" s="2" t="str">
        <f t="shared" si="5"/>
        <v/>
      </c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4" t="str">
        <f t="shared" si="4"/>
        <v/>
      </c>
      <c r="O137" s="2" t="str">
        <f t="shared" si="5"/>
        <v/>
      </c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4" t="str">
        <f t="shared" si="4"/>
        <v/>
      </c>
      <c r="O138" s="2" t="str">
        <f t="shared" si="5"/>
        <v/>
      </c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4" t="str">
        <f t="shared" si="4"/>
        <v/>
      </c>
      <c r="O139" s="2" t="str">
        <f t="shared" si="5"/>
        <v/>
      </c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4" t="str">
        <f t="shared" si="4"/>
        <v/>
      </c>
      <c r="O140" s="2" t="str">
        <f t="shared" si="5"/>
        <v/>
      </c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4" t="str">
        <f t="shared" si="4"/>
        <v/>
      </c>
      <c r="O141" s="2" t="str">
        <f t="shared" si="5"/>
        <v/>
      </c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4" t="str">
        <f t="shared" si="4"/>
        <v/>
      </c>
      <c r="O142" s="2" t="str">
        <f t="shared" si="5"/>
        <v/>
      </c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4" t="str">
        <f t="shared" si="4"/>
        <v/>
      </c>
      <c r="O143" s="2" t="str">
        <f t="shared" si="5"/>
        <v/>
      </c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4" t="str">
        <f t="shared" si="4"/>
        <v/>
      </c>
      <c r="O144" s="2" t="str">
        <f t="shared" si="5"/>
        <v/>
      </c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4" t="str">
        <f t="shared" si="4"/>
        <v/>
      </c>
      <c r="O145" s="2" t="str">
        <f t="shared" si="5"/>
        <v/>
      </c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4" t="str">
        <f t="shared" si="4"/>
        <v/>
      </c>
      <c r="O146" s="2" t="str">
        <f t="shared" si="5"/>
        <v/>
      </c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4" t="str">
        <f t="shared" si="4"/>
        <v/>
      </c>
      <c r="O147" s="2" t="str">
        <f t="shared" si="5"/>
        <v/>
      </c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4" t="str">
        <f t="shared" si="4"/>
        <v/>
      </c>
      <c r="O148" s="2" t="str">
        <f t="shared" si="5"/>
        <v/>
      </c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4" t="str">
        <f t="shared" si="4"/>
        <v/>
      </c>
      <c r="O149" s="2" t="str">
        <f t="shared" si="5"/>
        <v/>
      </c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4" t="str">
        <f t="shared" si="4"/>
        <v/>
      </c>
      <c r="O150" s="2" t="str">
        <f t="shared" si="5"/>
        <v/>
      </c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4" t="str">
        <f t="shared" si="4"/>
        <v/>
      </c>
      <c r="O151" s="2" t="str">
        <f t="shared" si="5"/>
        <v/>
      </c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4" t="str">
        <f t="shared" si="4"/>
        <v/>
      </c>
      <c r="O152" s="2" t="str">
        <f t="shared" si="5"/>
        <v/>
      </c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4" t="str">
        <f t="shared" si="4"/>
        <v/>
      </c>
      <c r="O153" s="2" t="str">
        <f t="shared" si="5"/>
        <v/>
      </c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4" t="str">
        <f t="shared" si="4"/>
        <v/>
      </c>
      <c r="O154" s="2" t="str">
        <f t="shared" si="5"/>
        <v/>
      </c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4" t="str">
        <f t="shared" si="4"/>
        <v/>
      </c>
      <c r="O155" s="2" t="str">
        <f t="shared" si="5"/>
        <v/>
      </c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4" t="str">
        <f t="shared" si="4"/>
        <v/>
      </c>
      <c r="O156" s="2" t="str">
        <f t="shared" si="5"/>
        <v/>
      </c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4" t="str">
        <f t="shared" si="4"/>
        <v/>
      </c>
      <c r="O157" s="2" t="str">
        <f t="shared" si="5"/>
        <v/>
      </c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4" t="str">
        <f t="shared" si="4"/>
        <v/>
      </c>
      <c r="O158" s="2" t="str">
        <f t="shared" si="5"/>
        <v/>
      </c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4" t="str">
        <f t="shared" si="4"/>
        <v/>
      </c>
      <c r="O159" s="2" t="str">
        <f t="shared" si="5"/>
        <v/>
      </c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4" t="str">
        <f t="shared" si="4"/>
        <v/>
      </c>
      <c r="O160" s="2" t="str">
        <f t="shared" si="5"/>
        <v/>
      </c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4" t="str">
        <f t="shared" si="4"/>
        <v/>
      </c>
      <c r="O161" s="2" t="str">
        <f t="shared" si="5"/>
        <v/>
      </c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4" t="str">
        <f t="shared" si="4"/>
        <v/>
      </c>
      <c r="O162" s="2" t="str">
        <f t="shared" si="5"/>
        <v/>
      </c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4" t="str">
        <f t="shared" si="4"/>
        <v/>
      </c>
      <c r="O163" s="2" t="str">
        <f t="shared" si="5"/>
        <v/>
      </c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4" t="str">
        <f t="shared" si="4"/>
        <v/>
      </c>
      <c r="O164" s="2" t="str">
        <f t="shared" si="5"/>
        <v/>
      </c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4" t="str">
        <f t="shared" si="4"/>
        <v/>
      </c>
      <c r="O165" s="2" t="str">
        <f t="shared" si="5"/>
        <v/>
      </c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4" t="str">
        <f t="shared" si="4"/>
        <v/>
      </c>
      <c r="O166" s="2" t="str">
        <f t="shared" si="5"/>
        <v/>
      </c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4" t="str">
        <f t="shared" si="4"/>
        <v/>
      </c>
      <c r="O167" s="2" t="str">
        <f t="shared" si="5"/>
        <v/>
      </c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4" t="str">
        <f t="shared" si="4"/>
        <v/>
      </c>
      <c r="O168" s="2" t="str">
        <f t="shared" si="5"/>
        <v/>
      </c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4" t="str">
        <f t="shared" si="4"/>
        <v/>
      </c>
      <c r="O169" s="2" t="str">
        <f t="shared" si="5"/>
        <v/>
      </c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4" t="str">
        <f t="shared" si="4"/>
        <v/>
      </c>
      <c r="O170" s="2" t="str">
        <f t="shared" si="5"/>
        <v/>
      </c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4" t="str">
        <f t="shared" si="4"/>
        <v/>
      </c>
      <c r="O171" s="2" t="str">
        <f t="shared" si="5"/>
        <v/>
      </c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4" t="str">
        <f t="shared" si="4"/>
        <v/>
      </c>
      <c r="O172" s="2" t="str">
        <f t="shared" si="5"/>
        <v/>
      </c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4" t="str">
        <f t="shared" si="4"/>
        <v/>
      </c>
      <c r="O173" s="2" t="str">
        <f t="shared" si="5"/>
        <v/>
      </c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4" t="str">
        <f t="shared" si="4"/>
        <v/>
      </c>
      <c r="O174" s="2" t="str">
        <f t="shared" si="5"/>
        <v/>
      </c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4" t="str">
        <f t="shared" si="4"/>
        <v/>
      </c>
      <c r="O175" s="2" t="str">
        <f t="shared" si="5"/>
        <v/>
      </c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4" t="str">
        <f t="shared" si="4"/>
        <v/>
      </c>
      <c r="O176" s="2" t="str">
        <f t="shared" si="5"/>
        <v/>
      </c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4" t="str">
        <f t="shared" si="4"/>
        <v/>
      </c>
      <c r="O177" s="2" t="str">
        <f t="shared" si="5"/>
        <v/>
      </c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4" t="str">
        <f t="shared" si="4"/>
        <v/>
      </c>
      <c r="O178" s="2" t="str">
        <f t="shared" si="5"/>
        <v/>
      </c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4" t="str">
        <f t="shared" si="4"/>
        <v/>
      </c>
      <c r="O179" s="2" t="str">
        <f t="shared" si="5"/>
        <v/>
      </c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4" t="str">
        <f t="shared" si="4"/>
        <v/>
      </c>
      <c r="O180" s="2" t="str">
        <f t="shared" si="5"/>
        <v/>
      </c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4" t="str">
        <f t="shared" si="4"/>
        <v/>
      </c>
      <c r="O181" s="2" t="str">
        <f t="shared" si="5"/>
        <v/>
      </c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4" t="str">
        <f t="shared" si="4"/>
        <v/>
      </c>
      <c r="O182" s="2" t="str">
        <f t="shared" si="5"/>
        <v/>
      </c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4" t="str">
        <f t="shared" si="4"/>
        <v/>
      </c>
      <c r="O183" s="2" t="str">
        <f t="shared" si="5"/>
        <v/>
      </c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4" t="str">
        <f t="shared" si="4"/>
        <v/>
      </c>
      <c r="O184" s="2" t="str">
        <f t="shared" si="5"/>
        <v/>
      </c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4" t="str">
        <f t="shared" si="4"/>
        <v/>
      </c>
      <c r="O185" s="2" t="str">
        <f t="shared" si="5"/>
        <v/>
      </c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4" t="str">
        <f t="shared" si="4"/>
        <v/>
      </c>
      <c r="O186" s="2" t="str">
        <f t="shared" si="5"/>
        <v/>
      </c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4" t="str">
        <f t="shared" si="4"/>
        <v/>
      </c>
      <c r="O187" s="2" t="str">
        <f t="shared" si="5"/>
        <v/>
      </c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4" t="str">
        <f t="shared" si="4"/>
        <v/>
      </c>
      <c r="O188" s="2" t="str">
        <f t="shared" si="5"/>
        <v/>
      </c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4" t="str">
        <f t="shared" si="4"/>
        <v/>
      </c>
      <c r="O189" s="2" t="str">
        <f t="shared" si="5"/>
        <v/>
      </c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4" t="str">
        <f t="shared" si="4"/>
        <v/>
      </c>
      <c r="O190" s="2" t="str">
        <f t="shared" si="5"/>
        <v/>
      </c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4" t="str">
        <f t="shared" si="4"/>
        <v/>
      </c>
      <c r="O191" s="2" t="str">
        <f t="shared" si="5"/>
        <v/>
      </c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4" t="str">
        <f t="shared" si="4"/>
        <v/>
      </c>
      <c r="O192" s="2" t="str">
        <f t="shared" si="5"/>
        <v/>
      </c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4" t="str">
        <f t="shared" si="4"/>
        <v/>
      </c>
      <c r="O193" s="2" t="str">
        <f t="shared" si="5"/>
        <v/>
      </c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4" t="str">
        <f t="shared" si="4"/>
        <v/>
      </c>
      <c r="O194" s="2" t="str">
        <f t="shared" si="5"/>
        <v/>
      </c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4" t="str">
        <f t="shared" si="4"/>
        <v/>
      </c>
      <c r="O195" s="2" t="str">
        <f t="shared" si="5"/>
        <v/>
      </c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4" t="str">
        <f t="shared" si="4"/>
        <v/>
      </c>
      <c r="O196" s="2" t="str">
        <f t="shared" si="5"/>
        <v/>
      </c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4" t="str">
        <f t="shared" ref="N197:N260" si="6">IF(A197="","",ROUND(COUNTA(B197:M197)/12,2))</f>
        <v/>
      </c>
      <c r="O197" s="2" t="str">
        <f t="shared" ref="O197:O260" si="7">IF(A197="","",IF(N197&gt;=0.85,"Готов к прототипу",IF(N197&gt;=0.6,"Требует доработки","Недостаточно данных")))</f>
        <v/>
      </c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4" t="str">
        <f t="shared" si="6"/>
        <v/>
      </c>
      <c r="O198" s="2" t="str">
        <f t="shared" si="7"/>
        <v/>
      </c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4" t="str">
        <f t="shared" si="6"/>
        <v/>
      </c>
      <c r="O199" s="2" t="str">
        <f t="shared" si="7"/>
        <v/>
      </c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4" t="str">
        <f t="shared" si="6"/>
        <v/>
      </c>
      <c r="O200" s="2" t="str">
        <f t="shared" si="7"/>
        <v/>
      </c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4" t="str">
        <f t="shared" si="6"/>
        <v/>
      </c>
      <c r="O201" s="2" t="str">
        <f t="shared" si="7"/>
        <v/>
      </c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4" t="str">
        <f t="shared" si="6"/>
        <v/>
      </c>
      <c r="O202" s="2" t="str">
        <f t="shared" si="7"/>
        <v/>
      </c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4" t="str">
        <f t="shared" si="6"/>
        <v/>
      </c>
      <c r="O203" s="2" t="str">
        <f t="shared" si="7"/>
        <v/>
      </c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4" t="str">
        <f t="shared" si="6"/>
        <v/>
      </c>
      <c r="O204" s="2" t="str">
        <f t="shared" si="7"/>
        <v/>
      </c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4" t="str">
        <f t="shared" si="6"/>
        <v/>
      </c>
      <c r="O205" s="2" t="str">
        <f t="shared" si="7"/>
        <v/>
      </c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4" t="str">
        <f t="shared" si="6"/>
        <v/>
      </c>
      <c r="O206" s="2" t="str">
        <f t="shared" si="7"/>
        <v/>
      </c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4" t="str">
        <f t="shared" si="6"/>
        <v/>
      </c>
      <c r="O207" s="2" t="str">
        <f t="shared" si="7"/>
        <v/>
      </c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4" t="str">
        <f t="shared" si="6"/>
        <v/>
      </c>
      <c r="O208" s="2" t="str">
        <f t="shared" si="7"/>
        <v/>
      </c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4" t="str">
        <f t="shared" si="6"/>
        <v/>
      </c>
      <c r="O209" s="2" t="str">
        <f t="shared" si="7"/>
        <v/>
      </c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4" t="str">
        <f t="shared" si="6"/>
        <v/>
      </c>
      <c r="O210" s="2" t="str">
        <f t="shared" si="7"/>
        <v/>
      </c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4" t="str">
        <f t="shared" si="6"/>
        <v/>
      </c>
      <c r="O211" s="2" t="str">
        <f t="shared" si="7"/>
        <v/>
      </c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4" t="str">
        <f t="shared" si="6"/>
        <v/>
      </c>
      <c r="O212" s="2" t="str">
        <f t="shared" si="7"/>
        <v/>
      </c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4" t="str">
        <f t="shared" si="6"/>
        <v/>
      </c>
      <c r="O213" s="2" t="str">
        <f t="shared" si="7"/>
        <v/>
      </c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4" t="str">
        <f t="shared" si="6"/>
        <v/>
      </c>
      <c r="O214" s="2" t="str">
        <f t="shared" si="7"/>
        <v/>
      </c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4" t="str">
        <f t="shared" si="6"/>
        <v/>
      </c>
      <c r="O215" s="2" t="str">
        <f t="shared" si="7"/>
        <v/>
      </c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4" t="str">
        <f t="shared" si="6"/>
        <v/>
      </c>
      <c r="O216" s="2" t="str">
        <f t="shared" si="7"/>
        <v/>
      </c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4" t="str">
        <f t="shared" si="6"/>
        <v/>
      </c>
      <c r="O217" s="2" t="str">
        <f t="shared" si="7"/>
        <v/>
      </c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4" t="str">
        <f t="shared" si="6"/>
        <v/>
      </c>
      <c r="O218" s="2" t="str">
        <f t="shared" si="7"/>
        <v/>
      </c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4" t="str">
        <f t="shared" si="6"/>
        <v/>
      </c>
      <c r="O219" s="2" t="str">
        <f t="shared" si="7"/>
        <v/>
      </c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4" t="str">
        <f t="shared" si="6"/>
        <v/>
      </c>
      <c r="O220" s="2" t="str">
        <f t="shared" si="7"/>
        <v/>
      </c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4" t="str">
        <f t="shared" si="6"/>
        <v/>
      </c>
      <c r="O221" s="2" t="str">
        <f t="shared" si="7"/>
        <v/>
      </c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4" t="str">
        <f t="shared" si="6"/>
        <v/>
      </c>
      <c r="O222" s="2" t="str">
        <f t="shared" si="7"/>
        <v/>
      </c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4" t="str">
        <f t="shared" si="6"/>
        <v/>
      </c>
      <c r="O223" s="2" t="str">
        <f t="shared" si="7"/>
        <v/>
      </c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4" t="str">
        <f t="shared" si="6"/>
        <v/>
      </c>
      <c r="O224" s="2" t="str">
        <f t="shared" si="7"/>
        <v/>
      </c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4" t="str">
        <f t="shared" si="6"/>
        <v/>
      </c>
      <c r="O225" s="2" t="str">
        <f t="shared" si="7"/>
        <v/>
      </c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4" t="str">
        <f t="shared" si="6"/>
        <v/>
      </c>
      <c r="O226" s="2" t="str">
        <f t="shared" si="7"/>
        <v/>
      </c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4" t="str">
        <f t="shared" si="6"/>
        <v/>
      </c>
      <c r="O227" s="2" t="str">
        <f t="shared" si="7"/>
        <v/>
      </c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4" t="str">
        <f t="shared" si="6"/>
        <v/>
      </c>
      <c r="O228" s="2" t="str">
        <f t="shared" si="7"/>
        <v/>
      </c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4" t="str">
        <f t="shared" si="6"/>
        <v/>
      </c>
      <c r="O229" s="2" t="str">
        <f t="shared" si="7"/>
        <v/>
      </c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4" t="str">
        <f t="shared" si="6"/>
        <v/>
      </c>
      <c r="O230" s="2" t="str">
        <f t="shared" si="7"/>
        <v/>
      </c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4" t="str">
        <f t="shared" si="6"/>
        <v/>
      </c>
      <c r="O231" s="2" t="str">
        <f t="shared" si="7"/>
        <v/>
      </c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4" t="str">
        <f t="shared" si="6"/>
        <v/>
      </c>
      <c r="O232" s="2" t="str">
        <f t="shared" si="7"/>
        <v/>
      </c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4" t="str">
        <f t="shared" si="6"/>
        <v/>
      </c>
      <c r="O233" s="2" t="str">
        <f t="shared" si="7"/>
        <v/>
      </c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4" t="str">
        <f t="shared" si="6"/>
        <v/>
      </c>
      <c r="O234" s="2" t="str">
        <f t="shared" si="7"/>
        <v/>
      </c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4" t="str">
        <f t="shared" si="6"/>
        <v/>
      </c>
      <c r="O235" s="2" t="str">
        <f t="shared" si="7"/>
        <v/>
      </c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4" t="str">
        <f t="shared" si="6"/>
        <v/>
      </c>
      <c r="O236" s="2" t="str">
        <f t="shared" si="7"/>
        <v/>
      </c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4" t="str">
        <f t="shared" si="6"/>
        <v/>
      </c>
      <c r="O237" s="2" t="str">
        <f t="shared" si="7"/>
        <v/>
      </c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4" t="str">
        <f t="shared" si="6"/>
        <v/>
      </c>
      <c r="O238" s="2" t="str">
        <f t="shared" si="7"/>
        <v/>
      </c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4" t="str">
        <f t="shared" si="6"/>
        <v/>
      </c>
      <c r="O239" s="2" t="str">
        <f t="shared" si="7"/>
        <v/>
      </c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4" t="str">
        <f t="shared" si="6"/>
        <v/>
      </c>
      <c r="O240" s="2" t="str">
        <f t="shared" si="7"/>
        <v/>
      </c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4" t="str">
        <f t="shared" si="6"/>
        <v/>
      </c>
      <c r="O241" s="2" t="str">
        <f t="shared" si="7"/>
        <v/>
      </c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4" t="str">
        <f t="shared" si="6"/>
        <v/>
      </c>
      <c r="O242" s="2" t="str">
        <f t="shared" si="7"/>
        <v/>
      </c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4" t="str">
        <f t="shared" si="6"/>
        <v/>
      </c>
      <c r="O243" s="2" t="str">
        <f t="shared" si="7"/>
        <v/>
      </c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4" t="str">
        <f t="shared" si="6"/>
        <v/>
      </c>
      <c r="O244" s="2" t="str">
        <f t="shared" si="7"/>
        <v/>
      </c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4" t="str">
        <f t="shared" si="6"/>
        <v/>
      </c>
      <c r="O245" s="2" t="str">
        <f t="shared" si="7"/>
        <v/>
      </c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4" t="str">
        <f t="shared" si="6"/>
        <v/>
      </c>
      <c r="O246" s="2" t="str">
        <f t="shared" si="7"/>
        <v/>
      </c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4" t="str">
        <f t="shared" si="6"/>
        <v/>
      </c>
      <c r="O247" s="2" t="str">
        <f t="shared" si="7"/>
        <v/>
      </c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4" t="str">
        <f t="shared" si="6"/>
        <v/>
      </c>
      <c r="O248" s="2" t="str">
        <f t="shared" si="7"/>
        <v/>
      </c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4" t="str">
        <f t="shared" si="6"/>
        <v/>
      </c>
      <c r="O249" s="2" t="str">
        <f t="shared" si="7"/>
        <v/>
      </c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4" t="str">
        <f t="shared" si="6"/>
        <v/>
      </c>
      <c r="O250" s="2" t="str">
        <f t="shared" si="7"/>
        <v/>
      </c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4" t="str">
        <f t="shared" si="6"/>
        <v/>
      </c>
      <c r="O251" s="2" t="str">
        <f t="shared" si="7"/>
        <v/>
      </c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4" t="str">
        <f t="shared" si="6"/>
        <v/>
      </c>
      <c r="O252" s="2" t="str">
        <f t="shared" si="7"/>
        <v/>
      </c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4" t="str">
        <f t="shared" si="6"/>
        <v/>
      </c>
      <c r="O253" s="2" t="str">
        <f t="shared" si="7"/>
        <v/>
      </c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4" t="str">
        <f t="shared" si="6"/>
        <v/>
      </c>
      <c r="O254" s="2" t="str">
        <f t="shared" si="7"/>
        <v/>
      </c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4" t="str">
        <f t="shared" si="6"/>
        <v/>
      </c>
      <c r="O255" s="2" t="str">
        <f t="shared" si="7"/>
        <v/>
      </c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4" t="str">
        <f t="shared" si="6"/>
        <v/>
      </c>
      <c r="O256" s="2" t="str">
        <f t="shared" si="7"/>
        <v/>
      </c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4" t="str">
        <f t="shared" si="6"/>
        <v/>
      </c>
      <c r="O257" s="2" t="str">
        <f t="shared" si="7"/>
        <v/>
      </c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4" t="str">
        <f t="shared" si="6"/>
        <v/>
      </c>
      <c r="O258" s="2" t="str">
        <f t="shared" si="7"/>
        <v/>
      </c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4" t="str">
        <f t="shared" si="6"/>
        <v/>
      </c>
      <c r="O259" s="2" t="str">
        <f t="shared" si="7"/>
        <v/>
      </c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4" t="str">
        <f t="shared" si="6"/>
        <v/>
      </c>
      <c r="O260" s="2" t="str">
        <f t="shared" si="7"/>
        <v/>
      </c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4" t="str">
        <f t="shared" ref="N261:N324" si="8">IF(A261="","",ROUND(COUNTA(B261:M261)/12,2))</f>
        <v/>
      </c>
      <c r="O261" s="2" t="str">
        <f t="shared" ref="O261:O324" si="9">IF(A261="","",IF(N261&gt;=0.85,"Готов к прототипу",IF(N261&gt;=0.6,"Требует доработки","Недостаточно данных")))</f>
        <v/>
      </c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4" t="str">
        <f t="shared" si="8"/>
        <v/>
      </c>
      <c r="O262" s="2" t="str">
        <f t="shared" si="9"/>
        <v/>
      </c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4" t="str">
        <f t="shared" si="8"/>
        <v/>
      </c>
      <c r="O263" s="2" t="str">
        <f t="shared" si="9"/>
        <v/>
      </c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4" t="str">
        <f t="shared" si="8"/>
        <v/>
      </c>
      <c r="O264" s="2" t="str">
        <f t="shared" si="9"/>
        <v/>
      </c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4" t="str">
        <f t="shared" si="8"/>
        <v/>
      </c>
      <c r="O265" s="2" t="str">
        <f t="shared" si="9"/>
        <v/>
      </c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4" t="str">
        <f t="shared" si="8"/>
        <v/>
      </c>
      <c r="O266" s="2" t="str">
        <f t="shared" si="9"/>
        <v/>
      </c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4" t="str">
        <f t="shared" si="8"/>
        <v/>
      </c>
      <c r="O267" s="2" t="str">
        <f t="shared" si="9"/>
        <v/>
      </c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4" t="str">
        <f t="shared" si="8"/>
        <v/>
      </c>
      <c r="O268" s="2" t="str">
        <f t="shared" si="9"/>
        <v/>
      </c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4" t="str">
        <f t="shared" si="8"/>
        <v/>
      </c>
      <c r="O269" s="2" t="str">
        <f t="shared" si="9"/>
        <v/>
      </c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4" t="str">
        <f t="shared" si="8"/>
        <v/>
      </c>
      <c r="O270" s="2" t="str">
        <f t="shared" si="9"/>
        <v/>
      </c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4" t="str">
        <f t="shared" si="8"/>
        <v/>
      </c>
      <c r="O271" s="2" t="str">
        <f t="shared" si="9"/>
        <v/>
      </c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4" t="str">
        <f t="shared" si="8"/>
        <v/>
      </c>
      <c r="O272" s="2" t="str">
        <f t="shared" si="9"/>
        <v/>
      </c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4" t="str">
        <f t="shared" si="8"/>
        <v/>
      </c>
      <c r="O273" s="2" t="str">
        <f t="shared" si="9"/>
        <v/>
      </c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4" t="str">
        <f t="shared" si="8"/>
        <v/>
      </c>
      <c r="O274" s="2" t="str">
        <f t="shared" si="9"/>
        <v/>
      </c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4" t="str">
        <f t="shared" si="8"/>
        <v/>
      </c>
      <c r="O275" s="2" t="str">
        <f t="shared" si="9"/>
        <v/>
      </c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4" t="str">
        <f t="shared" si="8"/>
        <v/>
      </c>
      <c r="O276" s="2" t="str">
        <f t="shared" si="9"/>
        <v/>
      </c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4" t="str">
        <f t="shared" si="8"/>
        <v/>
      </c>
      <c r="O277" s="2" t="str">
        <f t="shared" si="9"/>
        <v/>
      </c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4" t="str">
        <f t="shared" si="8"/>
        <v/>
      </c>
      <c r="O278" s="2" t="str">
        <f t="shared" si="9"/>
        <v/>
      </c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4" t="str">
        <f t="shared" si="8"/>
        <v/>
      </c>
      <c r="O279" s="2" t="str">
        <f t="shared" si="9"/>
        <v/>
      </c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4" t="str">
        <f t="shared" si="8"/>
        <v/>
      </c>
      <c r="O280" s="2" t="str">
        <f t="shared" si="9"/>
        <v/>
      </c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4" t="str">
        <f t="shared" si="8"/>
        <v/>
      </c>
      <c r="O281" s="2" t="str">
        <f t="shared" si="9"/>
        <v/>
      </c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4" t="str">
        <f t="shared" si="8"/>
        <v/>
      </c>
      <c r="O282" s="2" t="str">
        <f t="shared" si="9"/>
        <v/>
      </c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4" t="str">
        <f t="shared" si="8"/>
        <v/>
      </c>
      <c r="O283" s="2" t="str">
        <f t="shared" si="9"/>
        <v/>
      </c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4" t="str">
        <f t="shared" si="8"/>
        <v/>
      </c>
      <c r="O284" s="2" t="str">
        <f t="shared" si="9"/>
        <v/>
      </c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4" t="str">
        <f t="shared" si="8"/>
        <v/>
      </c>
      <c r="O285" s="2" t="str">
        <f t="shared" si="9"/>
        <v/>
      </c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4" t="str">
        <f t="shared" si="8"/>
        <v/>
      </c>
      <c r="O286" s="2" t="str">
        <f t="shared" si="9"/>
        <v/>
      </c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4" t="str">
        <f t="shared" si="8"/>
        <v/>
      </c>
      <c r="O287" s="2" t="str">
        <f t="shared" si="9"/>
        <v/>
      </c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4" t="str">
        <f t="shared" si="8"/>
        <v/>
      </c>
      <c r="O288" s="2" t="str">
        <f t="shared" si="9"/>
        <v/>
      </c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4" t="str">
        <f t="shared" si="8"/>
        <v/>
      </c>
      <c r="O289" s="2" t="str">
        <f t="shared" si="9"/>
        <v/>
      </c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4" t="str">
        <f t="shared" si="8"/>
        <v/>
      </c>
      <c r="O290" s="2" t="str">
        <f t="shared" si="9"/>
        <v/>
      </c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4" t="str">
        <f t="shared" si="8"/>
        <v/>
      </c>
      <c r="O291" s="2" t="str">
        <f t="shared" si="9"/>
        <v/>
      </c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4" t="str">
        <f t="shared" si="8"/>
        <v/>
      </c>
      <c r="O292" s="2" t="str">
        <f t="shared" si="9"/>
        <v/>
      </c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4" t="str">
        <f t="shared" si="8"/>
        <v/>
      </c>
      <c r="O293" s="2" t="str">
        <f t="shared" si="9"/>
        <v/>
      </c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4" t="str">
        <f t="shared" si="8"/>
        <v/>
      </c>
      <c r="O294" s="2" t="str">
        <f t="shared" si="9"/>
        <v/>
      </c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4" t="str">
        <f t="shared" si="8"/>
        <v/>
      </c>
      <c r="O295" s="2" t="str">
        <f t="shared" si="9"/>
        <v/>
      </c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4" t="str">
        <f t="shared" si="8"/>
        <v/>
      </c>
      <c r="O296" s="2" t="str">
        <f t="shared" si="9"/>
        <v/>
      </c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4" t="str">
        <f t="shared" si="8"/>
        <v/>
      </c>
      <c r="O297" s="2" t="str">
        <f t="shared" si="9"/>
        <v/>
      </c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4" t="str">
        <f t="shared" si="8"/>
        <v/>
      </c>
      <c r="O298" s="2" t="str">
        <f t="shared" si="9"/>
        <v/>
      </c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4" t="str">
        <f t="shared" si="8"/>
        <v/>
      </c>
      <c r="O299" s="2" t="str">
        <f t="shared" si="9"/>
        <v/>
      </c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4" t="str">
        <f t="shared" si="8"/>
        <v/>
      </c>
      <c r="O300" s="2" t="str">
        <f t="shared" si="9"/>
        <v/>
      </c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4" t="str">
        <f t="shared" si="8"/>
        <v/>
      </c>
      <c r="O301" s="2" t="str">
        <f t="shared" si="9"/>
        <v/>
      </c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4" t="str">
        <f t="shared" si="8"/>
        <v/>
      </c>
      <c r="O302" s="2" t="str">
        <f t="shared" si="9"/>
        <v/>
      </c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4" t="str">
        <f t="shared" si="8"/>
        <v/>
      </c>
      <c r="O303" s="2" t="str">
        <f t="shared" si="9"/>
        <v/>
      </c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4" t="str">
        <f t="shared" si="8"/>
        <v/>
      </c>
      <c r="O304" s="2" t="str">
        <f t="shared" si="9"/>
        <v/>
      </c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O1"/>
    <mergeCell ref="A2:O2"/>
  </mergeCells>
  <conditionalFormatting sqref="N5:N3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305"/>
  <sheetViews>
    <sheetView workbookViewId="0"/>
  </sheetViews>
  <sheetFormatPr defaultRowHeight="13.5"/>
  <cols>
    <col min="1" max="1" width="12" customWidth="1"/>
    <col min="2" max="2" width="26" customWidth="1"/>
    <col min="3" max="7" width="16" customWidth="1"/>
    <col min="8" max="9" width="14" customWidth="1"/>
    <col min="10" max="10" width="24" customWidth="1"/>
    <col min="11" max="11" width="42" customWidth="1"/>
    <col min="12" max="12" width="26" customWidth="1"/>
  </cols>
  <sheetData>
    <row r="1" spans="1:21" ht="16.05" customHeight="1">
      <c r="A1" s="6" t="s">
        <v>180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2"/>
      <c r="N1" s="2"/>
      <c r="O1" s="2"/>
      <c r="P1" s="2"/>
      <c r="Q1" s="2"/>
      <c r="R1" s="2"/>
      <c r="S1" s="2"/>
      <c r="T1" s="2"/>
      <c r="U1" s="2"/>
    </row>
    <row r="2" spans="1:21" ht="16.05" customHeight="1">
      <c r="A2" s="7" t="s">
        <v>181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05" customHeight="1">
      <c r="A4" s="3" t="s">
        <v>89</v>
      </c>
      <c r="B4" s="3" t="s">
        <v>91</v>
      </c>
      <c r="C4" s="3" t="s">
        <v>93</v>
      </c>
      <c r="D4" s="3" t="s">
        <v>182</v>
      </c>
      <c r="E4" s="3" t="s">
        <v>183</v>
      </c>
      <c r="F4" s="3" t="s">
        <v>184</v>
      </c>
      <c r="G4" s="3" t="s">
        <v>185</v>
      </c>
      <c r="H4" s="3" t="s">
        <v>80</v>
      </c>
      <c r="I4" s="3" t="s">
        <v>186</v>
      </c>
      <c r="J4" s="3" t="s">
        <v>187</v>
      </c>
      <c r="K4" s="3" t="s">
        <v>188</v>
      </c>
      <c r="L4" s="3" t="s">
        <v>106</v>
      </c>
      <c r="M4" s="2"/>
      <c r="N4" s="2"/>
      <c r="O4" s="2"/>
      <c r="P4" s="2"/>
      <c r="Q4" s="2"/>
      <c r="R4" s="2"/>
      <c r="S4" s="2"/>
      <c r="T4" s="2"/>
      <c r="U4" s="2"/>
    </row>
    <row r="5" spans="1:21">
      <c r="A5" s="2" t="s">
        <v>107</v>
      </c>
      <c r="B5" s="2" t="s">
        <v>109</v>
      </c>
      <c r="C5" s="2" t="s">
        <v>52</v>
      </c>
      <c r="D5" s="2">
        <v>4</v>
      </c>
      <c r="E5" s="2">
        <v>3</v>
      </c>
      <c r="F5" s="2">
        <v>5</v>
      </c>
      <c r="G5" s="2">
        <v>3</v>
      </c>
      <c r="H5" s="2">
        <v>2</v>
      </c>
      <c r="I5" s="2">
        <f t="shared" ref="I5:I68" si="0">IF(A5="","",MAX(0,MIN(100,ROUND(((D5*0.3)+(E5*0.3)+(F5*0.15)+(G5*0.15)-(H5*0.1))*20,0))))</f>
        <v>62</v>
      </c>
      <c r="J5" s="2" t="str">
        <f t="shared" ref="J5:J68" si="1">IF(A5="","",IF(I5&gt;=80,"P1 — первая версия",IF(I5&gt;=60,"P2 — следующий выпуск",IF(I5&gt;=40,"P3 — можно отложить","Не включать"))))</f>
        <v>P2 — следующий выпуск</v>
      </c>
      <c r="K5" s="2" t="s">
        <v>782</v>
      </c>
      <c r="L5" s="2" t="s">
        <v>783</v>
      </c>
      <c r="M5" s="2"/>
      <c r="N5" s="2"/>
      <c r="O5" s="2"/>
      <c r="P5" s="2"/>
      <c r="Q5" s="2"/>
      <c r="R5" s="2"/>
      <c r="S5" s="2"/>
      <c r="T5" s="2"/>
      <c r="U5" s="2"/>
    </row>
    <row r="6" spans="1:21">
      <c r="A6" s="2" t="s">
        <v>114</v>
      </c>
      <c r="B6" s="2" t="s">
        <v>475</v>
      </c>
      <c r="C6" s="2" t="s">
        <v>85</v>
      </c>
      <c r="D6" s="2">
        <v>5</v>
      </c>
      <c r="E6" s="2">
        <v>4</v>
      </c>
      <c r="F6" s="2">
        <v>4</v>
      </c>
      <c r="G6" s="2">
        <v>4</v>
      </c>
      <c r="H6" s="2">
        <v>2</v>
      </c>
      <c r="I6" s="2">
        <f t="shared" si="0"/>
        <v>74</v>
      </c>
      <c r="J6" s="2" t="str">
        <f t="shared" si="1"/>
        <v>P2 — следующий выпуск</v>
      </c>
      <c r="K6" s="2" t="s">
        <v>784</v>
      </c>
      <c r="L6" s="2" t="s">
        <v>783</v>
      </c>
      <c r="M6" s="2"/>
      <c r="N6" s="2"/>
      <c r="O6" s="2"/>
      <c r="P6" s="2"/>
      <c r="Q6" s="2"/>
      <c r="R6" s="2"/>
      <c r="S6" s="2"/>
      <c r="T6" s="2"/>
      <c r="U6" s="2"/>
    </row>
    <row r="7" spans="1:21">
      <c r="A7" s="2" t="s">
        <v>484</v>
      </c>
      <c r="B7" s="2" t="s">
        <v>485</v>
      </c>
      <c r="C7" s="2" t="s">
        <v>85</v>
      </c>
      <c r="D7" s="2">
        <v>5</v>
      </c>
      <c r="E7" s="2">
        <v>5</v>
      </c>
      <c r="F7" s="2">
        <v>4</v>
      </c>
      <c r="G7" s="2">
        <v>4</v>
      </c>
      <c r="H7" s="2">
        <v>2</v>
      </c>
      <c r="I7" s="2">
        <f t="shared" si="0"/>
        <v>80</v>
      </c>
      <c r="J7" s="2" t="str">
        <f t="shared" si="1"/>
        <v>P1 — первая версия</v>
      </c>
      <c r="K7" s="2" t="s">
        <v>785</v>
      </c>
      <c r="L7" s="2" t="s">
        <v>783</v>
      </c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494</v>
      </c>
      <c r="B8" s="2" t="s">
        <v>495</v>
      </c>
      <c r="C8" s="2" t="s">
        <v>459</v>
      </c>
      <c r="D8" s="2">
        <v>4</v>
      </c>
      <c r="E8" s="2">
        <v>3</v>
      </c>
      <c r="F8" s="2">
        <v>3</v>
      </c>
      <c r="G8" s="2">
        <v>3</v>
      </c>
      <c r="H8" s="2">
        <v>2</v>
      </c>
      <c r="I8" s="2">
        <f t="shared" si="0"/>
        <v>56</v>
      </c>
      <c r="J8" s="2" t="str">
        <f t="shared" si="1"/>
        <v>P3 — можно отложить</v>
      </c>
      <c r="K8" s="2" t="s">
        <v>786</v>
      </c>
      <c r="L8" s="2" t="s">
        <v>787</v>
      </c>
      <c r="M8" s="2"/>
      <c r="N8" s="2"/>
      <c r="O8" s="2"/>
      <c r="P8" s="2"/>
      <c r="Q8" s="2"/>
      <c r="R8" s="2"/>
      <c r="S8" s="2"/>
      <c r="T8" s="2"/>
      <c r="U8" s="2"/>
    </row>
    <row r="9" spans="1:21">
      <c r="A9" s="2" t="s">
        <v>504</v>
      </c>
      <c r="B9" s="2" t="s">
        <v>505</v>
      </c>
      <c r="C9" s="2" t="s">
        <v>48</v>
      </c>
      <c r="D9" s="2">
        <v>4</v>
      </c>
      <c r="E9" s="2">
        <v>4</v>
      </c>
      <c r="F9" s="2">
        <v>4</v>
      </c>
      <c r="G9" s="2">
        <v>5</v>
      </c>
      <c r="H9" s="2">
        <v>2</v>
      </c>
      <c r="I9" s="2">
        <f t="shared" si="0"/>
        <v>71</v>
      </c>
      <c r="J9" s="2" t="str">
        <f t="shared" si="1"/>
        <v>P2 — следующий выпуск</v>
      </c>
      <c r="K9" s="2" t="s">
        <v>417</v>
      </c>
      <c r="L9" s="2" t="s">
        <v>783</v>
      </c>
      <c r="M9" s="2"/>
      <c r="N9" s="2"/>
      <c r="O9" s="2"/>
      <c r="P9" s="2"/>
      <c r="Q9" s="2"/>
      <c r="R9" s="2"/>
      <c r="S9" s="2"/>
      <c r="T9" s="2"/>
      <c r="U9" s="2"/>
    </row>
    <row r="10" spans="1:21" ht="27">
      <c r="A10" s="2" t="s">
        <v>513</v>
      </c>
      <c r="B10" s="2" t="s">
        <v>514</v>
      </c>
      <c r="C10" s="2" t="s">
        <v>353</v>
      </c>
      <c r="D10" s="2">
        <v>4</v>
      </c>
      <c r="E10" s="2">
        <v>5</v>
      </c>
      <c r="F10" s="2">
        <v>2</v>
      </c>
      <c r="G10" s="2">
        <v>5</v>
      </c>
      <c r="H10" s="2">
        <v>3</v>
      </c>
      <c r="I10" s="2">
        <f t="shared" si="0"/>
        <v>69</v>
      </c>
      <c r="J10" s="2" t="str">
        <f t="shared" si="1"/>
        <v>P2 — следующий выпуск</v>
      </c>
      <c r="K10" s="2" t="s">
        <v>450</v>
      </c>
      <c r="L10" s="2" t="s">
        <v>788</v>
      </c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 t="s">
        <v>524</v>
      </c>
      <c r="B11" s="2" t="s">
        <v>525</v>
      </c>
      <c r="C11" s="2" t="s">
        <v>329</v>
      </c>
      <c r="D11" s="2">
        <v>4</v>
      </c>
      <c r="E11" s="2">
        <v>3</v>
      </c>
      <c r="F11" s="2">
        <v>4</v>
      </c>
      <c r="G11" s="2">
        <v>3</v>
      </c>
      <c r="H11" s="2">
        <v>2</v>
      </c>
      <c r="I11" s="2">
        <f t="shared" si="0"/>
        <v>59</v>
      </c>
      <c r="J11" s="2" t="str">
        <f t="shared" si="1"/>
        <v>P3 — можно отложить</v>
      </c>
      <c r="K11" s="2" t="s">
        <v>789</v>
      </c>
      <c r="L11" s="2" t="s">
        <v>783</v>
      </c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 t="s">
        <v>534</v>
      </c>
      <c r="B12" s="2" t="s">
        <v>535</v>
      </c>
      <c r="C12" s="2" t="s">
        <v>418</v>
      </c>
      <c r="D12" s="2">
        <v>5</v>
      </c>
      <c r="E12" s="2">
        <v>5</v>
      </c>
      <c r="F12" s="2">
        <v>5</v>
      </c>
      <c r="G12" s="2">
        <v>5</v>
      </c>
      <c r="H12" s="2">
        <v>4</v>
      </c>
      <c r="I12" s="2">
        <f t="shared" si="0"/>
        <v>82</v>
      </c>
      <c r="J12" s="2" t="str">
        <f t="shared" si="1"/>
        <v>P1 — первая версия</v>
      </c>
      <c r="K12" s="2" t="s">
        <v>790</v>
      </c>
      <c r="L12" s="2" t="s">
        <v>783</v>
      </c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 t="s">
        <v>544</v>
      </c>
      <c r="B13" s="2" t="s">
        <v>545</v>
      </c>
      <c r="C13" s="2" t="s">
        <v>369</v>
      </c>
      <c r="D13" s="2">
        <v>5</v>
      </c>
      <c r="E13" s="2">
        <v>4</v>
      </c>
      <c r="F13" s="2">
        <v>5</v>
      </c>
      <c r="G13" s="2">
        <v>5</v>
      </c>
      <c r="H13" s="2">
        <v>2</v>
      </c>
      <c r="I13" s="2">
        <f t="shared" si="0"/>
        <v>80</v>
      </c>
      <c r="J13" s="2" t="str">
        <f t="shared" si="1"/>
        <v>P1 — первая версия</v>
      </c>
      <c r="K13" s="2" t="s">
        <v>791</v>
      </c>
      <c r="L13" s="2" t="s">
        <v>783</v>
      </c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 t="s">
        <v>554</v>
      </c>
      <c r="B14" s="2" t="s">
        <v>555</v>
      </c>
      <c r="C14" s="2" t="s">
        <v>437</v>
      </c>
      <c r="D14" s="2">
        <v>4</v>
      </c>
      <c r="E14" s="2">
        <v>3</v>
      </c>
      <c r="F14" s="2">
        <v>4</v>
      </c>
      <c r="G14" s="2">
        <v>3</v>
      </c>
      <c r="H14" s="2">
        <v>3</v>
      </c>
      <c r="I14" s="2">
        <f t="shared" si="0"/>
        <v>57</v>
      </c>
      <c r="J14" s="2" t="str">
        <f t="shared" si="1"/>
        <v>P3 — можно отложить</v>
      </c>
      <c r="K14" s="2" t="s">
        <v>116</v>
      </c>
      <c r="L14" s="2" t="s">
        <v>792</v>
      </c>
      <c r="M14" s="2"/>
      <c r="N14" s="2"/>
      <c r="O14" s="2"/>
      <c r="P14" s="2"/>
      <c r="Q14" s="2"/>
      <c r="R14" s="2"/>
      <c r="S14" s="2"/>
      <c r="T14" s="2"/>
      <c r="U14" s="2"/>
    </row>
    <row r="15" spans="1:21" ht="27">
      <c r="A15" s="2" t="s">
        <v>564</v>
      </c>
      <c r="B15" s="2" t="s">
        <v>565</v>
      </c>
      <c r="C15" s="2" t="s">
        <v>451</v>
      </c>
      <c r="D15" s="2">
        <v>4</v>
      </c>
      <c r="E15" s="2">
        <v>3</v>
      </c>
      <c r="F15" s="2">
        <v>4</v>
      </c>
      <c r="G15" s="2">
        <v>3</v>
      </c>
      <c r="H15" s="2">
        <v>4</v>
      </c>
      <c r="I15" s="2">
        <f t="shared" si="0"/>
        <v>55</v>
      </c>
      <c r="J15" s="2" t="str">
        <f t="shared" si="1"/>
        <v>P3 — можно отложить</v>
      </c>
      <c r="K15" s="2" t="s">
        <v>793</v>
      </c>
      <c r="L15" s="2" t="s">
        <v>792</v>
      </c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 t="s">
        <v>574</v>
      </c>
      <c r="B16" s="2" t="s">
        <v>575</v>
      </c>
      <c r="C16" s="2" t="s">
        <v>353</v>
      </c>
      <c r="D16" s="2">
        <v>3</v>
      </c>
      <c r="E16" s="2">
        <v>4</v>
      </c>
      <c r="F16" s="2">
        <v>3</v>
      </c>
      <c r="G16" s="2">
        <v>3</v>
      </c>
      <c r="H16" s="2">
        <v>2</v>
      </c>
      <c r="I16" s="2">
        <f t="shared" si="0"/>
        <v>56</v>
      </c>
      <c r="J16" s="2" t="str">
        <f t="shared" si="1"/>
        <v>P3 — можно отложить</v>
      </c>
      <c r="K16" s="2" t="s">
        <v>794</v>
      </c>
      <c r="L16" s="2" t="s">
        <v>792</v>
      </c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 t="s">
        <v>583</v>
      </c>
      <c r="B17" s="2" t="s">
        <v>584</v>
      </c>
      <c r="C17" s="2" t="s">
        <v>418</v>
      </c>
      <c r="D17" s="2">
        <v>4</v>
      </c>
      <c r="E17" s="2">
        <v>4</v>
      </c>
      <c r="F17" s="2">
        <v>4</v>
      </c>
      <c r="G17" s="2">
        <v>2</v>
      </c>
      <c r="H17" s="2">
        <v>4</v>
      </c>
      <c r="I17" s="2">
        <f t="shared" si="0"/>
        <v>58</v>
      </c>
      <c r="J17" s="2" t="str">
        <f t="shared" si="1"/>
        <v>P3 — можно отложить</v>
      </c>
      <c r="K17" s="2" t="s">
        <v>573</v>
      </c>
      <c r="L17" s="2" t="s">
        <v>792</v>
      </c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 t="str">
        <f t="shared" si="0"/>
        <v/>
      </c>
      <c r="J18" s="2" t="str">
        <f t="shared" si="1"/>
        <v/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 t="str">
        <f t="shared" si="0"/>
        <v/>
      </c>
      <c r="J19" s="2" t="str">
        <f t="shared" si="1"/>
        <v/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 t="str">
        <f t="shared" si="0"/>
        <v/>
      </c>
      <c r="J20" s="2" t="str">
        <f t="shared" si="1"/>
        <v/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 t="str">
        <f t="shared" si="0"/>
        <v/>
      </c>
      <c r="J21" s="2" t="str">
        <f t="shared" si="1"/>
        <v/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 t="str">
        <f t="shared" si="0"/>
        <v/>
      </c>
      <c r="J22" s="2" t="str">
        <f t="shared" si="1"/>
        <v/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 t="str">
        <f t="shared" si="0"/>
        <v/>
      </c>
      <c r="J23" s="2" t="str">
        <f t="shared" si="1"/>
        <v/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 t="str">
        <f t="shared" si="0"/>
        <v/>
      </c>
      <c r="J24" s="2" t="str">
        <f t="shared" si="1"/>
        <v/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 t="str">
        <f t="shared" si="0"/>
        <v/>
      </c>
      <c r="J25" s="2" t="str">
        <f t="shared" si="1"/>
        <v/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 t="str">
        <f t="shared" si="0"/>
        <v/>
      </c>
      <c r="J26" s="2" t="str">
        <f t="shared" si="1"/>
        <v/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 t="str">
        <f t="shared" si="0"/>
        <v/>
      </c>
      <c r="J27" s="2" t="str">
        <f t="shared" si="1"/>
        <v/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 t="str">
        <f t="shared" si="0"/>
        <v/>
      </c>
      <c r="J28" s="2" t="str">
        <f t="shared" si="1"/>
        <v/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 t="str">
        <f t="shared" si="0"/>
        <v/>
      </c>
      <c r="J29" s="2" t="str">
        <f t="shared" si="1"/>
        <v/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 t="str">
        <f t="shared" si="0"/>
        <v/>
      </c>
      <c r="J30" s="2" t="str">
        <f t="shared" si="1"/>
        <v/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 t="str">
        <f t="shared" si="0"/>
        <v/>
      </c>
      <c r="J31" s="2" t="str">
        <f t="shared" si="1"/>
        <v/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 t="str">
        <f t="shared" si="0"/>
        <v/>
      </c>
      <c r="J32" s="2" t="str">
        <f t="shared" si="1"/>
        <v/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 t="str">
        <f t="shared" si="0"/>
        <v/>
      </c>
      <c r="J33" s="2" t="str">
        <f t="shared" si="1"/>
        <v/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 t="str">
        <f t="shared" si="0"/>
        <v/>
      </c>
      <c r="J34" s="2" t="str">
        <f t="shared" si="1"/>
        <v/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 t="str">
        <f t="shared" si="0"/>
        <v/>
      </c>
      <c r="J35" s="2" t="str">
        <f t="shared" si="1"/>
        <v/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 t="str">
        <f t="shared" si="0"/>
        <v/>
      </c>
      <c r="J36" s="2" t="str">
        <f t="shared" si="1"/>
        <v/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 t="str">
        <f t="shared" si="0"/>
        <v/>
      </c>
      <c r="J37" s="2" t="str">
        <f t="shared" si="1"/>
        <v/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 t="str">
        <f t="shared" si="0"/>
        <v/>
      </c>
      <c r="J38" s="2" t="str">
        <f t="shared" si="1"/>
        <v/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 t="str">
        <f t="shared" si="0"/>
        <v/>
      </c>
      <c r="J39" s="2" t="str">
        <f t="shared" si="1"/>
        <v/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 t="str">
        <f t="shared" si="0"/>
        <v/>
      </c>
      <c r="J40" s="2" t="str">
        <f t="shared" si="1"/>
        <v/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 t="str">
        <f t="shared" si="0"/>
        <v/>
      </c>
      <c r="J41" s="2" t="str">
        <f t="shared" si="1"/>
        <v/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 t="str">
        <f t="shared" si="0"/>
        <v/>
      </c>
      <c r="J42" s="2" t="str">
        <f t="shared" si="1"/>
        <v/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 t="str">
        <f t="shared" si="0"/>
        <v/>
      </c>
      <c r="J43" s="2" t="str">
        <f t="shared" si="1"/>
        <v/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 t="str">
        <f t="shared" si="0"/>
        <v/>
      </c>
      <c r="J44" s="2" t="str">
        <f t="shared" si="1"/>
        <v/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 t="str">
        <f t="shared" si="0"/>
        <v/>
      </c>
      <c r="J45" s="2" t="str">
        <f t="shared" si="1"/>
        <v/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 t="str">
        <f t="shared" si="0"/>
        <v/>
      </c>
      <c r="J46" s="2" t="str">
        <f t="shared" si="1"/>
        <v/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 t="str">
        <f t="shared" si="0"/>
        <v/>
      </c>
      <c r="J47" s="2" t="str">
        <f t="shared" si="1"/>
        <v/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 t="str">
        <f t="shared" si="0"/>
        <v/>
      </c>
      <c r="J48" s="2" t="str">
        <f t="shared" si="1"/>
        <v/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 t="str">
        <f t="shared" si="0"/>
        <v/>
      </c>
      <c r="J49" s="2" t="str">
        <f t="shared" si="1"/>
        <v/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 t="str">
        <f t="shared" si="0"/>
        <v/>
      </c>
      <c r="J50" s="2" t="str">
        <f t="shared" si="1"/>
        <v/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 t="str">
        <f t="shared" si="0"/>
        <v/>
      </c>
      <c r="J51" s="2" t="str">
        <f t="shared" si="1"/>
        <v/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 t="str">
        <f t="shared" si="0"/>
        <v/>
      </c>
      <c r="J52" s="2" t="str">
        <f t="shared" si="1"/>
        <v/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 t="str">
        <f t="shared" si="0"/>
        <v/>
      </c>
      <c r="J53" s="2" t="str">
        <f t="shared" si="1"/>
        <v/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 t="str">
        <f t="shared" si="0"/>
        <v/>
      </c>
      <c r="J54" s="2" t="str">
        <f t="shared" si="1"/>
        <v/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 t="str">
        <f t="shared" si="0"/>
        <v/>
      </c>
      <c r="J55" s="2" t="str">
        <f t="shared" si="1"/>
        <v/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 t="str">
        <f t="shared" si="0"/>
        <v/>
      </c>
      <c r="J56" s="2" t="str">
        <f t="shared" si="1"/>
        <v/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 t="str">
        <f t="shared" si="0"/>
        <v/>
      </c>
      <c r="J57" s="2" t="str">
        <f t="shared" si="1"/>
        <v/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 t="str">
        <f t="shared" si="0"/>
        <v/>
      </c>
      <c r="J58" s="2" t="str">
        <f t="shared" si="1"/>
        <v/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 t="str">
        <f t="shared" si="0"/>
        <v/>
      </c>
      <c r="J59" s="2" t="str">
        <f t="shared" si="1"/>
        <v/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 t="str">
        <f t="shared" si="0"/>
        <v/>
      </c>
      <c r="J60" s="2" t="str">
        <f t="shared" si="1"/>
        <v/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 t="str">
        <f t="shared" si="0"/>
        <v/>
      </c>
      <c r="J61" s="2" t="str">
        <f t="shared" si="1"/>
        <v/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 t="str">
        <f t="shared" si="0"/>
        <v/>
      </c>
      <c r="J62" s="2" t="str">
        <f t="shared" si="1"/>
        <v/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 t="str">
        <f t="shared" si="0"/>
        <v/>
      </c>
      <c r="J63" s="2" t="str">
        <f t="shared" si="1"/>
        <v/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 t="str">
        <f t="shared" si="0"/>
        <v/>
      </c>
      <c r="J64" s="2" t="str">
        <f t="shared" si="1"/>
        <v/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 t="str">
        <f t="shared" si="0"/>
        <v/>
      </c>
      <c r="J65" s="2" t="str">
        <f t="shared" si="1"/>
        <v/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 t="str">
        <f t="shared" si="0"/>
        <v/>
      </c>
      <c r="J66" s="2" t="str">
        <f t="shared" si="1"/>
        <v/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 t="str">
        <f t="shared" si="0"/>
        <v/>
      </c>
      <c r="J67" s="2" t="str">
        <f t="shared" si="1"/>
        <v/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 t="str">
        <f t="shared" si="0"/>
        <v/>
      </c>
      <c r="J68" s="2" t="str">
        <f t="shared" si="1"/>
        <v/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 t="str">
        <f t="shared" ref="I69:I132" si="2">IF(A69="","",MAX(0,MIN(100,ROUND(((D69*0.3)+(E69*0.3)+(F69*0.15)+(G69*0.15)-(H69*0.1))*20,0))))</f>
        <v/>
      </c>
      <c r="J69" s="2" t="str">
        <f t="shared" ref="J69:J132" si="3">IF(A69="","",IF(I69&gt;=80,"P1 — первая версия",IF(I69&gt;=60,"P2 — следующий выпуск",IF(I69&gt;=40,"P3 — можно отложить","Не включать"))))</f>
        <v/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 t="str">
        <f t="shared" si="2"/>
        <v/>
      </c>
      <c r="J70" s="2" t="str">
        <f t="shared" si="3"/>
        <v/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 t="str">
        <f t="shared" si="2"/>
        <v/>
      </c>
      <c r="J71" s="2" t="str">
        <f t="shared" si="3"/>
        <v/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 t="str">
        <f t="shared" si="2"/>
        <v/>
      </c>
      <c r="J72" s="2" t="str">
        <f t="shared" si="3"/>
        <v/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 t="str">
        <f t="shared" si="2"/>
        <v/>
      </c>
      <c r="J73" s="2" t="str">
        <f t="shared" si="3"/>
        <v/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 t="str">
        <f t="shared" si="2"/>
        <v/>
      </c>
      <c r="J74" s="2" t="str">
        <f t="shared" si="3"/>
        <v/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 t="str">
        <f t="shared" si="2"/>
        <v/>
      </c>
      <c r="J75" s="2" t="str">
        <f t="shared" si="3"/>
        <v/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 t="str">
        <f t="shared" si="2"/>
        <v/>
      </c>
      <c r="J76" s="2" t="str">
        <f t="shared" si="3"/>
        <v/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 t="str">
        <f t="shared" si="2"/>
        <v/>
      </c>
      <c r="J77" s="2" t="str">
        <f t="shared" si="3"/>
        <v/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 t="str">
        <f t="shared" si="2"/>
        <v/>
      </c>
      <c r="J78" s="2" t="str">
        <f t="shared" si="3"/>
        <v/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 t="str">
        <f t="shared" si="2"/>
        <v/>
      </c>
      <c r="J79" s="2" t="str">
        <f t="shared" si="3"/>
        <v/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 t="str">
        <f t="shared" si="2"/>
        <v/>
      </c>
      <c r="J80" s="2" t="str">
        <f t="shared" si="3"/>
        <v/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 t="str">
        <f t="shared" si="2"/>
        <v/>
      </c>
      <c r="J81" s="2" t="str">
        <f t="shared" si="3"/>
        <v/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 t="str">
        <f t="shared" si="2"/>
        <v/>
      </c>
      <c r="J82" s="2" t="str">
        <f t="shared" si="3"/>
        <v/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 t="str">
        <f t="shared" si="2"/>
        <v/>
      </c>
      <c r="J83" s="2" t="str">
        <f t="shared" si="3"/>
        <v/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 t="str">
        <f t="shared" si="2"/>
        <v/>
      </c>
      <c r="J84" s="2" t="str">
        <f t="shared" si="3"/>
        <v/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 t="str">
        <f t="shared" si="2"/>
        <v/>
      </c>
      <c r="J85" s="2" t="str">
        <f t="shared" si="3"/>
        <v/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 t="str">
        <f t="shared" si="2"/>
        <v/>
      </c>
      <c r="J86" s="2" t="str">
        <f t="shared" si="3"/>
        <v/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 t="str">
        <f t="shared" si="2"/>
        <v/>
      </c>
      <c r="J87" s="2" t="str">
        <f t="shared" si="3"/>
        <v/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 t="str">
        <f t="shared" si="2"/>
        <v/>
      </c>
      <c r="J88" s="2" t="str">
        <f t="shared" si="3"/>
        <v/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 t="str">
        <f t="shared" si="2"/>
        <v/>
      </c>
      <c r="J89" s="2" t="str">
        <f t="shared" si="3"/>
        <v/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 t="str">
        <f t="shared" si="2"/>
        <v/>
      </c>
      <c r="J90" s="2" t="str">
        <f t="shared" si="3"/>
        <v/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 t="str">
        <f t="shared" si="2"/>
        <v/>
      </c>
      <c r="J91" s="2" t="str">
        <f t="shared" si="3"/>
        <v/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 t="str">
        <f t="shared" si="2"/>
        <v/>
      </c>
      <c r="J92" s="2" t="str">
        <f t="shared" si="3"/>
        <v/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 t="str">
        <f t="shared" si="2"/>
        <v/>
      </c>
      <c r="J93" s="2" t="str">
        <f t="shared" si="3"/>
        <v/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 t="str">
        <f t="shared" si="2"/>
        <v/>
      </c>
      <c r="J94" s="2" t="str">
        <f t="shared" si="3"/>
        <v/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 t="str">
        <f t="shared" si="2"/>
        <v/>
      </c>
      <c r="J95" s="2" t="str">
        <f t="shared" si="3"/>
        <v/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 t="str">
        <f t="shared" si="2"/>
        <v/>
      </c>
      <c r="J96" s="2" t="str">
        <f t="shared" si="3"/>
        <v/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 t="str">
        <f t="shared" si="2"/>
        <v/>
      </c>
      <c r="J97" s="2" t="str">
        <f t="shared" si="3"/>
        <v/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 t="str">
        <f t="shared" si="2"/>
        <v/>
      </c>
      <c r="J98" s="2" t="str">
        <f t="shared" si="3"/>
        <v/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 t="str">
        <f t="shared" si="2"/>
        <v/>
      </c>
      <c r="J99" s="2" t="str">
        <f t="shared" si="3"/>
        <v/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 t="str">
        <f t="shared" si="2"/>
        <v/>
      </c>
      <c r="J100" s="2" t="str">
        <f t="shared" si="3"/>
        <v/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 t="str">
        <f t="shared" si="2"/>
        <v/>
      </c>
      <c r="J101" s="2" t="str">
        <f t="shared" si="3"/>
        <v/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 t="str">
        <f t="shared" si="2"/>
        <v/>
      </c>
      <c r="J102" s="2" t="str">
        <f t="shared" si="3"/>
        <v/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 t="str">
        <f t="shared" si="2"/>
        <v/>
      </c>
      <c r="J103" s="2" t="str">
        <f t="shared" si="3"/>
        <v/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 t="str">
        <f t="shared" si="2"/>
        <v/>
      </c>
      <c r="J104" s="2" t="str">
        <f t="shared" si="3"/>
        <v/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 t="str">
        <f t="shared" si="2"/>
        <v/>
      </c>
      <c r="J105" s="2" t="str">
        <f t="shared" si="3"/>
        <v/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 t="str">
        <f t="shared" si="2"/>
        <v/>
      </c>
      <c r="J106" s="2" t="str">
        <f t="shared" si="3"/>
        <v/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 t="str">
        <f t="shared" si="2"/>
        <v/>
      </c>
      <c r="J107" s="2" t="str">
        <f t="shared" si="3"/>
        <v/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 t="str">
        <f t="shared" si="2"/>
        <v/>
      </c>
      <c r="J108" s="2" t="str">
        <f t="shared" si="3"/>
        <v/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 t="str">
        <f t="shared" si="2"/>
        <v/>
      </c>
      <c r="J109" s="2" t="str">
        <f t="shared" si="3"/>
        <v/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 t="str">
        <f t="shared" si="2"/>
        <v/>
      </c>
      <c r="J110" s="2" t="str">
        <f t="shared" si="3"/>
        <v/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 t="str">
        <f t="shared" si="2"/>
        <v/>
      </c>
      <c r="J111" s="2" t="str">
        <f t="shared" si="3"/>
        <v/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 t="str">
        <f t="shared" si="2"/>
        <v/>
      </c>
      <c r="J112" s="2" t="str">
        <f t="shared" si="3"/>
        <v/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 t="str">
        <f t="shared" si="2"/>
        <v/>
      </c>
      <c r="J113" s="2" t="str">
        <f t="shared" si="3"/>
        <v/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 t="str">
        <f t="shared" si="2"/>
        <v/>
      </c>
      <c r="J114" s="2" t="str">
        <f t="shared" si="3"/>
        <v/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 t="str">
        <f t="shared" si="2"/>
        <v/>
      </c>
      <c r="J115" s="2" t="str">
        <f t="shared" si="3"/>
        <v/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 t="str">
        <f t="shared" si="2"/>
        <v/>
      </c>
      <c r="J116" s="2" t="str">
        <f t="shared" si="3"/>
        <v/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 t="str">
        <f t="shared" si="2"/>
        <v/>
      </c>
      <c r="J117" s="2" t="str">
        <f t="shared" si="3"/>
        <v/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 t="str">
        <f t="shared" si="2"/>
        <v/>
      </c>
      <c r="J118" s="2" t="str">
        <f t="shared" si="3"/>
        <v/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 t="str">
        <f t="shared" si="2"/>
        <v/>
      </c>
      <c r="J119" s="2" t="str">
        <f t="shared" si="3"/>
        <v/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 t="str">
        <f t="shared" si="2"/>
        <v/>
      </c>
      <c r="J120" s="2" t="str">
        <f t="shared" si="3"/>
        <v/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 t="str">
        <f t="shared" si="2"/>
        <v/>
      </c>
      <c r="J121" s="2" t="str">
        <f t="shared" si="3"/>
        <v/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 t="str">
        <f t="shared" si="2"/>
        <v/>
      </c>
      <c r="J122" s="2" t="str">
        <f t="shared" si="3"/>
        <v/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 t="str">
        <f t="shared" si="2"/>
        <v/>
      </c>
      <c r="J123" s="2" t="str">
        <f t="shared" si="3"/>
        <v/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 t="str">
        <f t="shared" si="2"/>
        <v/>
      </c>
      <c r="J124" s="2" t="str">
        <f t="shared" si="3"/>
        <v/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 t="str">
        <f t="shared" si="2"/>
        <v/>
      </c>
      <c r="J125" s="2" t="str">
        <f t="shared" si="3"/>
        <v/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 t="str">
        <f t="shared" si="2"/>
        <v/>
      </c>
      <c r="J126" s="2" t="str">
        <f t="shared" si="3"/>
        <v/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 t="str">
        <f t="shared" si="2"/>
        <v/>
      </c>
      <c r="J127" s="2" t="str">
        <f t="shared" si="3"/>
        <v/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 t="str">
        <f t="shared" si="2"/>
        <v/>
      </c>
      <c r="J128" s="2" t="str">
        <f t="shared" si="3"/>
        <v/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 t="str">
        <f t="shared" si="2"/>
        <v/>
      </c>
      <c r="J129" s="2" t="str">
        <f t="shared" si="3"/>
        <v/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 t="str">
        <f t="shared" si="2"/>
        <v/>
      </c>
      <c r="J130" s="2" t="str">
        <f t="shared" si="3"/>
        <v/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 t="str">
        <f t="shared" si="2"/>
        <v/>
      </c>
      <c r="J131" s="2" t="str">
        <f t="shared" si="3"/>
        <v/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 t="str">
        <f t="shared" si="2"/>
        <v/>
      </c>
      <c r="J132" s="2" t="str">
        <f t="shared" si="3"/>
        <v/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 t="str">
        <f t="shared" ref="I133:I196" si="4">IF(A133="","",MAX(0,MIN(100,ROUND(((D133*0.3)+(E133*0.3)+(F133*0.15)+(G133*0.15)-(H133*0.1))*20,0))))</f>
        <v/>
      </c>
      <c r="J133" s="2" t="str">
        <f t="shared" ref="J133:J196" si="5">IF(A133="","",IF(I133&gt;=80,"P1 — первая версия",IF(I133&gt;=60,"P2 — следующий выпуск",IF(I133&gt;=40,"P3 — можно отложить","Не включать"))))</f>
        <v/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 t="str">
        <f t="shared" si="4"/>
        <v/>
      </c>
      <c r="J134" s="2" t="str">
        <f t="shared" si="5"/>
        <v/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 t="str">
        <f t="shared" si="4"/>
        <v/>
      </c>
      <c r="J135" s="2" t="str">
        <f t="shared" si="5"/>
        <v/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 t="str">
        <f t="shared" si="4"/>
        <v/>
      </c>
      <c r="J136" s="2" t="str">
        <f t="shared" si="5"/>
        <v/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 t="str">
        <f t="shared" si="4"/>
        <v/>
      </c>
      <c r="J137" s="2" t="str">
        <f t="shared" si="5"/>
        <v/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 t="str">
        <f t="shared" si="4"/>
        <v/>
      </c>
      <c r="J138" s="2" t="str">
        <f t="shared" si="5"/>
        <v/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 t="str">
        <f t="shared" si="4"/>
        <v/>
      </c>
      <c r="J139" s="2" t="str">
        <f t="shared" si="5"/>
        <v/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 t="str">
        <f t="shared" si="4"/>
        <v/>
      </c>
      <c r="J140" s="2" t="str">
        <f t="shared" si="5"/>
        <v/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 t="str">
        <f t="shared" si="4"/>
        <v/>
      </c>
      <c r="J141" s="2" t="str">
        <f t="shared" si="5"/>
        <v/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 t="str">
        <f t="shared" si="4"/>
        <v/>
      </c>
      <c r="J142" s="2" t="str">
        <f t="shared" si="5"/>
        <v/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 t="str">
        <f t="shared" si="4"/>
        <v/>
      </c>
      <c r="J143" s="2" t="str">
        <f t="shared" si="5"/>
        <v/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 t="str">
        <f t="shared" si="4"/>
        <v/>
      </c>
      <c r="J144" s="2" t="str">
        <f t="shared" si="5"/>
        <v/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 t="str">
        <f t="shared" si="4"/>
        <v/>
      </c>
      <c r="J145" s="2" t="str">
        <f t="shared" si="5"/>
        <v/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 t="str">
        <f t="shared" si="4"/>
        <v/>
      </c>
      <c r="J146" s="2" t="str">
        <f t="shared" si="5"/>
        <v/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 t="str">
        <f t="shared" si="4"/>
        <v/>
      </c>
      <c r="J147" s="2" t="str">
        <f t="shared" si="5"/>
        <v/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 t="str">
        <f t="shared" si="4"/>
        <v/>
      </c>
      <c r="J148" s="2" t="str">
        <f t="shared" si="5"/>
        <v/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 t="str">
        <f t="shared" si="4"/>
        <v/>
      </c>
      <c r="J149" s="2" t="str">
        <f t="shared" si="5"/>
        <v/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 t="str">
        <f t="shared" si="4"/>
        <v/>
      </c>
      <c r="J150" s="2" t="str">
        <f t="shared" si="5"/>
        <v/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 t="str">
        <f t="shared" si="4"/>
        <v/>
      </c>
      <c r="J151" s="2" t="str">
        <f t="shared" si="5"/>
        <v/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 t="str">
        <f t="shared" si="4"/>
        <v/>
      </c>
      <c r="J152" s="2" t="str">
        <f t="shared" si="5"/>
        <v/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 t="str">
        <f t="shared" si="4"/>
        <v/>
      </c>
      <c r="J153" s="2" t="str">
        <f t="shared" si="5"/>
        <v/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 t="str">
        <f t="shared" si="4"/>
        <v/>
      </c>
      <c r="J154" s="2" t="str">
        <f t="shared" si="5"/>
        <v/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 t="str">
        <f t="shared" si="4"/>
        <v/>
      </c>
      <c r="J155" s="2" t="str">
        <f t="shared" si="5"/>
        <v/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 t="str">
        <f t="shared" si="4"/>
        <v/>
      </c>
      <c r="J156" s="2" t="str">
        <f t="shared" si="5"/>
        <v/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 t="str">
        <f t="shared" si="4"/>
        <v/>
      </c>
      <c r="J157" s="2" t="str">
        <f t="shared" si="5"/>
        <v/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 t="str">
        <f t="shared" si="4"/>
        <v/>
      </c>
      <c r="J158" s="2" t="str">
        <f t="shared" si="5"/>
        <v/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 t="str">
        <f t="shared" si="4"/>
        <v/>
      </c>
      <c r="J159" s="2" t="str">
        <f t="shared" si="5"/>
        <v/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 t="str">
        <f t="shared" si="4"/>
        <v/>
      </c>
      <c r="J160" s="2" t="str">
        <f t="shared" si="5"/>
        <v/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 t="str">
        <f t="shared" si="4"/>
        <v/>
      </c>
      <c r="J161" s="2" t="str">
        <f t="shared" si="5"/>
        <v/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 t="str">
        <f t="shared" si="4"/>
        <v/>
      </c>
      <c r="J162" s="2" t="str">
        <f t="shared" si="5"/>
        <v/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 t="str">
        <f t="shared" si="4"/>
        <v/>
      </c>
      <c r="J163" s="2" t="str">
        <f t="shared" si="5"/>
        <v/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 t="str">
        <f t="shared" si="4"/>
        <v/>
      </c>
      <c r="J164" s="2" t="str">
        <f t="shared" si="5"/>
        <v/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 t="str">
        <f t="shared" si="4"/>
        <v/>
      </c>
      <c r="J165" s="2" t="str">
        <f t="shared" si="5"/>
        <v/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 t="str">
        <f t="shared" si="4"/>
        <v/>
      </c>
      <c r="J166" s="2" t="str">
        <f t="shared" si="5"/>
        <v/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 t="str">
        <f t="shared" si="4"/>
        <v/>
      </c>
      <c r="J167" s="2" t="str">
        <f t="shared" si="5"/>
        <v/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 t="str">
        <f t="shared" si="4"/>
        <v/>
      </c>
      <c r="J168" s="2" t="str">
        <f t="shared" si="5"/>
        <v/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 t="str">
        <f t="shared" si="4"/>
        <v/>
      </c>
      <c r="J169" s="2" t="str">
        <f t="shared" si="5"/>
        <v/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 t="str">
        <f t="shared" si="4"/>
        <v/>
      </c>
      <c r="J170" s="2" t="str">
        <f t="shared" si="5"/>
        <v/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 t="str">
        <f t="shared" si="4"/>
        <v/>
      </c>
      <c r="J171" s="2" t="str">
        <f t="shared" si="5"/>
        <v/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 t="str">
        <f t="shared" si="4"/>
        <v/>
      </c>
      <c r="J172" s="2" t="str">
        <f t="shared" si="5"/>
        <v/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 t="str">
        <f t="shared" si="4"/>
        <v/>
      </c>
      <c r="J173" s="2" t="str">
        <f t="shared" si="5"/>
        <v/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 t="str">
        <f t="shared" si="4"/>
        <v/>
      </c>
      <c r="J174" s="2" t="str">
        <f t="shared" si="5"/>
        <v/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 t="str">
        <f t="shared" si="4"/>
        <v/>
      </c>
      <c r="J175" s="2" t="str">
        <f t="shared" si="5"/>
        <v/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 t="str">
        <f t="shared" si="4"/>
        <v/>
      </c>
      <c r="J176" s="2" t="str">
        <f t="shared" si="5"/>
        <v/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 t="str">
        <f t="shared" si="4"/>
        <v/>
      </c>
      <c r="J177" s="2" t="str">
        <f t="shared" si="5"/>
        <v/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 t="str">
        <f t="shared" si="4"/>
        <v/>
      </c>
      <c r="J178" s="2" t="str">
        <f t="shared" si="5"/>
        <v/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 t="str">
        <f t="shared" si="4"/>
        <v/>
      </c>
      <c r="J179" s="2" t="str">
        <f t="shared" si="5"/>
        <v/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 t="str">
        <f t="shared" si="4"/>
        <v/>
      </c>
      <c r="J180" s="2" t="str">
        <f t="shared" si="5"/>
        <v/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 t="str">
        <f t="shared" si="4"/>
        <v/>
      </c>
      <c r="J181" s="2" t="str">
        <f t="shared" si="5"/>
        <v/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 t="str">
        <f t="shared" si="4"/>
        <v/>
      </c>
      <c r="J182" s="2" t="str">
        <f t="shared" si="5"/>
        <v/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 t="str">
        <f t="shared" si="4"/>
        <v/>
      </c>
      <c r="J183" s="2" t="str">
        <f t="shared" si="5"/>
        <v/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 t="str">
        <f t="shared" si="4"/>
        <v/>
      </c>
      <c r="J184" s="2" t="str">
        <f t="shared" si="5"/>
        <v/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 t="str">
        <f t="shared" si="4"/>
        <v/>
      </c>
      <c r="J185" s="2" t="str">
        <f t="shared" si="5"/>
        <v/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 t="str">
        <f t="shared" si="4"/>
        <v/>
      </c>
      <c r="J186" s="2" t="str">
        <f t="shared" si="5"/>
        <v/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 t="str">
        <f t="shared" si="4"/>
        <v/>
      </c>
      <c r="J187" s="2" t="str">
        <f t="shared" si="5"/>
        <v/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 t="str">
        <f t="shared" si="4"/>
        <v/>
      </c>
      <c r="J188" s="2" t="str">
        <f t="shared" si="5"/>
        <v/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 t="str">
        <f t="shared" si="4"/>
        <v/>
      </c>
      <c r="J189" s="2" t="str">
        <f t="shared" si="5"/>
        <v/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 t="str">
        <f t="shared" si="4"/>
        <v/>
      </c>
      <c r="J190" s="2" t="str">
        <f t="shared" si="5"/>
        <v/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 t="str">
        <f t="shared" si="4"/>
        <v/>
      </c>
      <c r="J191" s="2" t="str">
        <f t="shared" si="5"/>
        <v/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 t="str">
        <f t="shared" si="4"/>
        <v/>
      </c>
      <c r="J192" s="2" t="str">
        <f t="shared" si="5"/>
        <v/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 t="str">
        <f t="shared" si="4"/>
        <v/>
      </c>
      <c r="J193" s="2" t="str">
        <f t="shared" si="5"/>
        <v/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 t="str">
        <f t="shared" si="4"/>
        <v/>
      </c>
      <c r="J194" s="2" t="str">
        <f t="shared" si="5"/>
        <v/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 t="str">
        <f t="shared" si="4"/>
        <v/>
      </c>
      <c r="J195" s="2" t="str">
        <f t="shared" si="5"/>
        <v/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 t="str">
        <f t="shared" si="4"/>
        <v/>
      </c>
      <c r="J196" s="2" t="str">
        <f t="shared" si="5"/>
        <v/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 t="str">
        <f t="shared" ref="I197:I260" si="6">IF(A197="","",MAX(0,MIN(100,ROUND(((D197*0.3)+(E197*0.3)+(F197*0.15)+(G197*0.15)-(H197*0.1))*20,0))))</f>
        <v/>
      </c>
      <c r="J197" s="2" t="str">
        <f t="shared" ref="J197:J260" si="7">IF(A197="","",IF(I197&gt;=80,"P1 — первая версия",IF(I197&gt;=60,"P2 — следующий выпуск",IF(I197&gt;=40,"P3 — можно отложить","Не включать"))))</f>
        <v/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 t="str">
        <f t="shared" si="6"/>
        <v/>
      </c>
      <c r="J198" s="2" t="str">
        <f t="shared" si="7"/>
        <v/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 t="str">
        <f t="shared" si="6"/>
        <v/>
      </c>
      <c r="J199" s="2" t="str">
        <f t="shared" si="7"/>
        <v/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 t="str">
        <f t="shared" si="6"/>
        <v/>
      </c>
      <c r="J200" s="2" t="str">
        <f t="shared" si="7"/>
        <v/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 t="str">
        <f t="shared" si="6"/>
        <v/>
      </c>
      <c r="J201" s="2" t="str">
        <f t="shared" si="7"/>
        <v/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 t="str">
        <f t="shared" si="6"/>
        <v/>
      </c>
      <c r="J202" s="2" t="str">
        <f t="shared" si="7"/>
        <v/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 t="str">
        <f t="shared" si="6"/>
        <v/>
      </c>
      <c r="J203" s="2" t="str">
        <f t="shared" si="7"/>
        <v/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 t="str">
        <f t="shared" si="6"/>
        <v/>
      </c>
      <c r="J204" s="2" t="str">
        <f t="shared" si="7"/>
        <v/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 t="str">
        <f t="shared" si="6"/>
        <v/>
      </c>
      <c r="J205" s="2" t="str">
        <f t="shared" si="7"/>
        <v/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 t="str">
        <f t="shared" si="6"/>
        <v/>
      </c>
      <c r="J206" s="2" t="str">
        <f t="shared" si="7"/>
        <v/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 t="str">
        <f t="shared" si="6"/>
        <v/>
      </c>
      <c r="J207" s="2" t="str">
        <f t="shared" si="7"/>
        <v/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 t="str">
        <f t="shared" si="6"/>
        <v/>
      </c>
      <c r="J208" s="2" t="str">
        <f t="shared" si="7"/>
        <v/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 t="str">
        <f t="shared" si="6"/>
        <v/>
      </c>
      <c r="J209" s="2" t="str">
        <f t="shared" si="7"/>
        <v/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 t="str">
        <f t="shared" si="6"/>
        <v/>
      </c>
      <c r="J210" s="2" t="str">
        <f t="shared" si="7"/>
        <v/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 t="str">
        <f t="shared" si="6"/>
        <v/>
      </c>
      <c r="J211" s="2" t="str">
        <f t="shared" si="7"/>
        <v/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 t="str">
        <f t="shared" si="6"/>
        <v/>
      </c>
      <c r="J212" s="2" t="str">
        <f t="shared" si="7"/>
        <v/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 t="str">
        <f t="shared" si="6"/>
        <v/>
      </c>
      <c r="J213" s="2" t="str">
        <f t="shared" si="7"/>
        <v/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 t="str">
        <f t="shared" si="6"/>
        <v/>
      </c>
      <c r="J214" s="2" t="str">
        <f t="shared" si="7"/>
        <v/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 t="str">
        <f t="shared" si="6"/>
        <v/>
      </c>
      <c r="J215" s="2" t="str">
        <f t="shared" si="7"/>
        <v/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 t="str">
        <f t="shared" si="6"/>
        <v/>
      </c>
      <c r="J216" s="2" t="str">
        <f t="shared" si="7"/>
        <v/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 t="str">
        <f t="shared" si="6"/>
        <v/>
      </c>
      <c r="J217" s="2" t="str">
        <f t="shared" si="7"/>
        <v/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 t="str">
        <f t="shared" si="6"/>
        <v/>
      </c>
      <c r="J218" s="2" t="str">
        <f t="shared" si="7"/>
        <v/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 t="str">
        <f t="shared" si="6"/>
        <v/>
      </c>
      <c r="J219" s="2" t="str">
        <f t="shared" si="7"/>
        <v/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 t="str">
        <f t="shared" si="6"/>
        <v/>
      </c>
      <c r="J220" s="2" t="str">
        <f t="shared" si="7"/>
        <v/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 t="str">
        <f t="shared" si="6"/>
        <v/>
      </c>
      <c r="J221" s="2" t="str">
        <f t="shared" si="7"/>
        <v/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 t="str">
        <f t="shared" si="6"/>
        <v/>
      </c>
      <c r="J222" s="2" t="str">
        <f t="shared" si="7"/>
        <v/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 t="str">
        <f t="shared" si="6"/>
        <v/>
      </c>
      <c r="J223" s="2" t="str">
        <f t="shared" si="7"/>
        <v/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 t="str">
        <f t="shared" si="6"/>
        <v/>
      </c>
      <c r="J224" s="2" t="str">
        <f t="shared" si="7"/>
        <v/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 t="str">
        <f t="shared" si="6"/>
        <v/>
      </c>
      <c r="J225" s="2" t="str">
        <f t="shared" si="7"/>
        <v/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 t="str">
        <f t="shared" si="6"/>
        <v/>
      </c>
      <c r="J226" s="2" t="str">
        <f t="shared" si="7"/>
        <v/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 t="str">
        <f t="shared" si="6"/>
        <v/>
      </c>
      <c r="J227" s="2" t="str">
        <f t="shared" si="7"/>
        <v/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 t="str">
        <f t="shared" si="6"/>
        <v/>
      </c>
      <c r="J228" s="2" t="str">
        <f t="shared" si="7"/>
        <v/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 t="str">
        <f t="shared" si="6"/>
        <v/>
      </c>
      <c r="J229" s="2" t="str">
        <f t="shared" si="7"/>
        <v/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 t="str">
        <f t="shared" si="6"/>
        <v/>
      </c>
      <c r="J230" s="2" t="str">
        <f t="shared" si="7"/>
        <v/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 t="str">
        <f t="shared" si="6"/>
        <v/>
      </c>
      <c r="J231" s="2" t="str">
        <f t="shared" si="7"/>
        <v/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 t="str">
        <f t="shared" si="6"/>
        <v/>
      </c>
      <c r="J232" s="2" t="str">
        <f t="shared" si="7"/>
        <v/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 t="str">
        <f t="shared" si="6"/>
        <v/>
      </c>
      <c r="J233" s="2" t="str">
        <f t="shared" si="7"/>
        <v/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 t="str">
        <f t="shared" si="6"/>
        <v/>
      </c>
      <c r="J234" s="2" t="str">
        <f t="shared" si="7"/>
        <v/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 t="str">
        <f t="shared" si="6"/>
        <v/>
      </c>
      <c r="J235" s="2" t="str">
        <f t="shared" si="7"/>
        <v/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 t="str">
        <f t="shared" si="6"/>
        <v/>
      </c>
      <c r="J236" s="2" t="str">
        <f t="shared" si="7"/>
        <v/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 t="str">
        <f t="shared" si="6"/>
        <v/>
      </c>
      <c r="J237" s="2" t="str">
        <f t="shared" si="7"/>
        <v/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 t="str">
        <f t="shared" si="6"/>
        <v/>
      </c>
      <c r="J238" s="2" t="str">
        <f t="shared" si="7"/>
        <v/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 t="str">
        <f t="shared" si="6"/>
        <v/>
      </c>
      <c r="J239" s="2" t="str">
        <f t="shared" si="7"/>
        <v/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 t="str">
        <f t="shared" si="6"/>
        <v/>
      </c>
      <c r="J240" s="2" t="str">
        <f t="shared" si="7"/>
        <v/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 t="str">
        <f t="shared" si="6"/>
        <v/>
      </c>
      <c r="J241" s="2" t="str">
        <f t="shared" si="7"/>
        <v/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 t="str">
        <f t="shared" si="6"/>
        <v/>
      </c>
      <c r="J242" s="2" t="str">
        <f t="shared" si="7"/>
        <v/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 t="str">
        <f t="shared" si="6"/>
        <v/>
      </c>
      <c r="J243" s="2" t="str">
        <f t="shared" si="7"/>
        <v/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 t="str">
        <f t="shared" si="6"/>
        <v/>
      </c>
      <c r="J244" s="2" t="str">
        <f t="shared" si="7"/>
        <v/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 t="str">
        <f t="shared" si="6"/>
        <v/>
      </c>
      <c r="J245" s="2" t="str">
        <f t="shared" si="7"/>
        <v/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 t="str">
        <f t="shared" si="6"/>
        <v/>
      </c>
      <c r="J246" s="2" t="str">
        <f t="shared" si="7"/>
        <v/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 t="str">
        <f t="shared" si="6"/>
        <v/>
      </c>
      <c r="J247" s="2" t="str">
        <f t="shared" si="7"/>
        <v/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 t="str">
        <f t="shared" si="6"/>
        <v/>
      </c>
      <c r="J248" s="2" t="str">
        <f t="shared" si="7"/>
        <v/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 t="str">
        <f t="shared" si="6"/>
        <v/>
      </c>
      <c r="J249" s="2" t="str">
        <f t="shared" si="7"/>
        <v/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 t="str">
        <f t="shared" si="6"/>
        <v/>
      </c>
      <c r="J250" s="2" t="str">
        <f t="shared" si="7"/>
        <v/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 t="str">
        <f t="shared" si="6"/>
        <v/>
      </c>
      <c r="J251" s="2" t="str">
        <f t="shared" si="7"/>
        <v/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 t="str">
        <f t="shared" si="6"/>
        <v/>
      </c>
      <c r="J252" s="2" t="str">
        <f t="shared" si="7"/>
        <v/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 t="str">
        <f t="shared" si="6"/>
        <v/>
      </c>
      <c r="J253" s="2" t="str">
        <f t="shared" si="7"/>
        <v/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 t="str">
        <f t="shared" si="6"/>
        <v/>
      </c>
      <c r="J254" s="2" t="str">
        <f t="shared" si="7"/>
        <v/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 t="str">
        <f t="shared" si="6"/>
        <v/>
      </c>
      <c r="J255" s="2" t="str">
        <f t="shared" si="7"/>
        <v/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 t="str">
        <f t="shared" si="6"/>
        <v/>
      </c>
      <c r="J256" s="2" t="str">
        <f t="shared" si="7"/>
        <v/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 t="str">
        <f t="shared" si="6"/>
        <v/>
      </c>
      <c r="J257" s="2" t="str">
        <f t="shared" si="7"/>
        <v/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 t="str">
        <f t="shared" si="6"/>
        <v/>
      </c>
      <c r="J258" s="2" t="str">
        <f t="shared" si="7"/>
        <v/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 t="str">
        <f t="shared" si="6"/>
        <v/>
      </c>
      <c r="J259" s="2" t="str">
        <f t="shared" si="7"/>
        <v/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 t="str">
        <f t="shared" si="6"/>
        <v/>
      </c>
      <c r="J260" s="2" t="str">
        <f t="shared" si="7"/>
        <v/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 t="str">
        <f t="shared" ref="I261:I324" si="8">IF(A261="","",MAX(0,MIN(100,ROUND(((D261*0.3)+(E261*0.3)+(F261*0.15)+(G261*0.15)-(H261*0.1))*20,0))))</f>
        <v/>
      </c>
      <c r="J261" s="2" t="str">
        <f t="shared" ref="J261:J324" si="9">IF(A261="","",IF(I261&gt;=80,"P1 — первая версия",IF(I261&gt;=60,"P2 — следующий выпуск",IF(I261&gt;=40,"P3 — можно отложить","Не включать"))))</f>
        <v/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 t="str">
        <f t="shared" si="8"/>
        <v/>
      </c>
      <c r="J262" s="2" t="str">
        <f t="shared" si="9"/>
        <v/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 t="str">
        <f t="shared" si="8"/>
        <v/>
      </c>
      <c r="J263" s="2" t="str">
        <f t="shared" si="9"/>
        <v/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 t="str">
        <f t="shared" si="8"/>
        <v/>
      </c>
      <c r="J264" s="2" t="str">
        <f t="shared" si="9"/>
        <v/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 t="str">
        <f t="shared" si="8"/>
        <v/>
      </c>
      <c r="J265" s="2" t="str">
        <f t="shared" si="9"/>
        <v/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 t="str">
        <f t="shared" si="8"/>
        <v/>
      </c>
      <c r="J266" s="2" t="str">
        <f t="shared" si="9"/>
        <v/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 t="str">
        <f t="shared" si="8"/>
        <v/>
      </c>
      <c r="J267" s="2" t="str">
        <f t="shared" si="9"/>
        <v/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 t="str">
        <f t="shared" si="8"/>
        <v/>
      </c>
      <c r="J268" s="2" t="str">
        <f t="shared" si="9"/>
        <v/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 t="str">
        <f t="shared" si="8"/>
        <v/>
      </c>
      <c r="J269" s="2" t="str">
        <f t="shared" si="9"/>
        <v/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 t="str">
        <f t="shared" si="8"/>
        <v/>
      </c>
      <c r="J270" s="2" t="str">
        <f t="shared" si="9"/>
        <v/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 t="str">
        <f t="shared" si="8"/>
        <v/>
      </c>
      <c r="J271" s="2" t="str">
        <f t="shared" si="9"/>
        <v/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 t="str">
        <f t="shared" si="8"/>
        <v/>
      </c>
      <c r="J272" s="2" t="str">
        <f t="shared" si="9"/>
        <v/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 t="str">
        <f t="shared" si="8"/>
        <v/>
      </c>
      <c r="J273" s="2" t="str">
        <f t="shared" si="9"/>
        <v/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 t="str">
        <f t="shared" si="8"/>
        <v/>
      </c>
      <c r="J274" s="2" t="str">
        <f t="shared" si="9"/>
        <v/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 t="str">
        <f t="shared" si="8"/>
        <v/>
      </c>
      <c r="J275" s="2" t="str">
        <f t="shared" si="9"/>
        <v/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 t="str">
        <f t="shared" si="8"/>
        <v/>
      </c>
      <c r="J276" s="2" t="str">
        <f t="shared" si="9"/>
        <v/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 t="str">
        <f t="shared" si="8"/>
        <v/>
      </c>
      <c r="J277" s="2" t="str">
        <f t="shared" si="9"/>
        <v/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 t="str">
        <f t="shared" si="8"/>
        <v/>
      </c>
      <c r="J278" s="2" t="str">
        <f t="shared" si="9"/>
        <v/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 t="str">
        <f t="shared" si="8"/>
        <v/>
      </c>
      <c r="J279" s="2" t="str">
        <f t="shared" si="9"/>
        <v/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 t="str">
        <f t="shared" si="8"/>
        <v/>
      </c>
      <c r="J280" s="2" t="str">
        <f t="shared" si="9"/>
        <v/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 t="str">
        <f t="shared" si="8"/>
        <v/>
      </c>
      <c r="J281" s="2" t="str">
        <f t="shared" si="9"/>
        <v/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 t="str">
        <f t="shared" si="8"/>
        <v/>
      </c>
      <c r="J282" s="2" t="str">
        <f t="shared" si="9"/>
        <v/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 t="str">
        <f t="shared" si="8"/>
        <v/>
      </c>
      <c r="J283" s="2" t="str">
        <f t="shared" si="9"/>
        <v/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 t="str">
        <f t="shared" si="8"/>
        <v/>
      </c>
      <c r="J284" s="2" t="str">
        <f t="shared" si="9"/>
        <v/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 t="str">
        <f t="shared" si="8"/>
        <v/>
      </c>
      <c r="J285" s="2" t="str">
        <f t="shared" si="9"/>
        <v/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 t="str">
        <f t="shared" si="8"/>
        <v/>
      </c>
      <c r="J286" s="2" t="str">
        <f t="shared" si="9"/>
        <v/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 t="str">
        <f t="shared" si="8"/>
        <v/>
      </c>
      <c r="J287" s="2" t="str">
        <f t="shared" si="9"/>
        <v/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 t="str">
        <f t="shared" si="8"/>
        <v/>
      </c>
      <c r="J288" s="2" t="str">
        <f t="shared" si="9"/>
        <v/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 t="str">
        <f t="shared" si="8"/>
        <v/>
      </c>
      <c r="J289" s="2" t="str">
        <f t="shared" si="9"/>
        <v/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 t="str">
        <f t="shared" si="8"/>
        <v/>
      </c>
      <c r="J290" s="2" t="str">
        <f t="shared" si="9"/>
        <v/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 t="str">
        <f t="shared" si="8"/>
        <v/>
      </c>
      <c r="J291" s="2" t="str">
        <f t="shared" si="9"/>
        <v/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 t="str">
        <f t="shared" si="8"/>
        <v/>
      </c>
      <c r="J292" s="2" t="str">
        <f t="shared" si="9"/>
        <v/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 t="str">
        <f t="shared" si="8"/>
        <v/>
      </c>
      <c r="J293" s="2" t="str">
        <f t="shared" si="9"/>
        <v/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 t="str">
        <f t="shared" si="8"/>
        <v/>
      </c>
      <c r="J294" s="2" t="str">
        <f t="shared" si="9"/>
        <v/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 t="str">
        <f t="shared" si="8"/>
        <v/>
      </c>
      <c r="J295" s="2" t="str">
        <f t="shared" si="9"/>
        <v/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 t="str">
        <f t="shared" si="8"/>
        <v/>
      </c>
      <c r="J296" s="2" t="str">
        <f t="shared" si="9"/>
        <v/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 t="str">
        <f t="shared" si="8"/>
        <v/>
      </c>
      <c r="J297" s="2" t="str">
        <f t="shared" si="9"/>
        <v/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 t="str">
        <f t="shared" si="8"/>
        <v/>
      </c>
      <c r="J298" s="2" t="str">
        <f t="shared" si="9"/>
        <v/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 t="str">
        <f t="shared" si="8"/>
        <v/>
      </c>
      <c r="J299" s="2" t="str">
        <f t="shared" si="9"/>
        <v/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 t="str">
        <f t="shared" si="8"/>
        <v/>
      </c>
      <c r="J300" s="2" t="str">
        <f t="shared" si="9"/>
        <v/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 t="str">
        <f t="shared" si="8"/>
        <v/>
      </c>
      <c r="J301" s="2" t="str">
        <f t="shared" si="9"/>
        <v/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 t="str">
        <f t="shared" si="8"/>
        <v/>
      </c>
      <c r="J302" s="2" t="str">
        <f t="shared" si="9"/>
        <v/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 t="str">
        <f t="shared" si="8"/>
        <v/>
      </c>
      <c r="J303" s="2" t="str">
        <f t="shared" si="9"/>
        <v/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 t="str">
        <f t="shared" si="8"/>
        <v/>
      </c>
      <c r="J304" s="2" t="str">
        <f t="shared" si="9"/>
        <v/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L1"/>
    <mergeCell ref="A2:L2"/>
  </mergeCells>
  <conditionalFormatting sqref="I5:I304">
    <cfRule type="dataBar" priority="1">
      <dataBar>
        <cfvo type="min"/>
        <cfvo type="max"/>
        <color rgb="FF2F6F7E"/>
      </dataBar>
    </cfRule>
  </conditionalFormatting>
  <conditionalFormatting sqref="J5:J304">
    <cfRule type="expression" dxfId="3" priority="2">
      <formula>LEFT(J5,2)="P1"</formula>
    </cfRule>
  </conditionalFormatting>
  <conditionalFormatting sqref="I5:I304">
    <cfRule type="dataBar" priority="3">
      <dataBar>
        <cfvo type="min"/>
        <cfvo type="max"/>
        <color rgb="FF2F6F7E"/>
      </dataBar>
      <extLst>
        <ext xmlns:x14="http://schemas.microsoft.com/office/spreadsheetml/2009/9/main" uri="{B025F937-C7B1-47D3-B67F-A62EFF666E3E}">
          <x14:id>{CBD40420-4A5B-1EDE-8A5F-A48E38ED2852}</x14:id>
        </ext>
      </extLst>
    </cfRule>
  </conditionalFormatting>
  <dataValidations count="2">
    <dataValidation type="list" sqref="D5:H304" xr:uid="{00000000-0002-0000-0A00-000000000000}">
      <formula1>"1,2,3,4,5"</formula1>
    </dataValidation>
    <dataValidation type="list" sqref="L5:L304" xr:uid="{00000000-0002-0000-0A00-000001000000}">
      <formula1>"Оставить,Объединить,Разделить,Уточнить,Исключить,Перенести в следующий выпуск"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D40420-4A5B-1EDE-8A5F-A48E38ED2852}">
            <x14:dataBar>
              <x14:cfvo type="min"/>
              <x14:cfvo type="max"/>
              <x14:negativeFillColor auto="1"/>
              <x14:axisColor auto="1"/>
            </x14:dataBar>
          </x14:cfRule>
          <xm:sqref>I5:I304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305"/>
  <sheetViews>
    <sheetView workbookViewId="0"/>
  </sheetViews>
  <sheetFormatPr defaultRowHeight="13.5"/>
  <cols>
    <col min="1" max="1" width="26" customWidth="1"/>
    <col min="2" max="2" width="48" customWidth="1"/>
    <col min="3" max="3" width="40" customWidth="1"/>
    <col min="4" max="4" width="16" customWidth="1"/>
    <col min="5" max="5" width="18" customWidth="1"/>
    <col min="6" max="6" width="55" customWidth="1"/>
  </cols>
  <sheetData>
    <row r="1" spans="1:21" ht="16.05" customHeight="1">
      <c r="A1" s="6" t="s">
        <v>189</v>
      </c>
      <c r="B1" s="6"/>
      <c r="C1" s="6"/>
      <c r="D1" s="6"/>
      <c r="E1" s="6"/>
      <c r="F1" s="6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05" customHeight="1">
      <c r="A2" s="7" t="s">
        <v>190</v>
      </c>
      <c r="B2" s="7"/>
      <c r="C2" s="7"/>
      <c r="D2" s="7"/>
      <c r="E2" s="7"/>
      <c r="F2" s="7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05" customHeight="1">
      <c r="A4" s="3" t="s">
        <v>191</v>
      </c>
      <c r="B4" s="3" t="s">
        <v>192</v>
      </c>
      <c r="C4" s="3" t="s">
        <v>193</v>
      </c>
      <c r="D4" s="3" t="s">
        <v>194</v>
      </c>
      <c r="E4" s="3" t="s">
        <v>103</v>
      </c>
      <c r="F4" s="3" t="s">
        <v>195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7">
      <c r="A5" s="2" t="s">
        <v>196</v>
      </c>
      <c r="B5" s="2" t="s">
        <v>197</v>
      </c>
      <c r="C5" s="2" t="s">
        <v>198</v>
      </c>
      <c r="D5" s="4">
        <f>IFERROR(COUNTIF(Пользовательские_сценарии!$N$5:$N$304,"Покрыт")/SUMPRODUCT(--(Пользовательские_сценарии!$A$5:$A$304&lt;&gt;"")),0)</f>
        <v>1</v>
      </c>
      <c r="E5" s="2" t="str">
        <f>IF(D5&gt;=0.9,"Норма",IF(D5&gt;=0.7,"Требует проверки","Проблема"))</f>
        <v>Норма</v>
      </c>
      <c r="F5" s="2" t="s">
        <v>199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7">
      <c r="A6" s="2" t="s">
        <v>200</v>
      </c>
      <c r="B6" s="2" t="s">
        <v>201</v>
      </c>
      <c r="C6" s="2" t="s">
        <v>202</v>
      </c>
      <c r="D6" s="2">
        <f>SUMPRODUCT(--(Страницы_и_экраны!$A$5:$A$304&lt;&gt;""),--(Страницы_и_экраны!$E$5:$E$304=""))</f>
        <v>0</v>
      </c>
      <c r="E6" s="2" t="str">
        <f>IF(D6=0,"Норма","Проблема")</f>
        <v>Норма</v>
      </c>
      <c r="F6" s="2" t="s">
        <v>203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7">
      <c r="A7" s="2" t="s">
        <v>204</v>
      </c>
      <c r="B7" s="2" t="s">
        <v>205</v>
      </c>
      <c r="C7" s="2" t="s">
        <v>206</v>
      </c>
      <c r="D7" s="4">
        <f>IFERROR(AVERAGE(Паспорт_экрана!$N$5:$N$304),0)</f>
        <v>1</v>
      </c>
      <c r="E7" s="2" t="str">
        <f>IF(D7&gt;=0.85,"Норма",IF(D7&gt;=0.6,"Требует проверки","Проблема"))</f>
        <v>Норма</v>
      </c>
      <c r="F7" s="2" t="s">
        <v>207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175</v>
      </c>
      <c r="B8" s="2" t="s">
        <v>208</v>
      </c>
      <c r="C8" s="2" t="s">
        <v>209</v>
      </c>
      <c r="D8" s="2">
        <f>SUMPRODUCT(--(Навигация_и_карта!$A$5:$A$204&lt;&gt;""))</f>
        <v>15</v>
      </c>
      <c r="E8" s="2" t="str">
        <f>IF(D8&gt;=SUMPRODUCT(--(Страницы_и_экраны!$A$5:$A$304&lt;&gt;""))-1,"Норма",IF(D8&gt;0,"Требует проверки","Проблема"))</f>
        <v>Норма</v>
      </c>
      <c r="F8" s="2" t="s">
        <v>210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7">
      <c r="A9" s="2" t="s">
        <v>211</v>
      </c>
      <c r="B9" s="2" t="s">
        <v>212</v>
      </c>
      <c r="C9" s="2" t="s">
        <v>213</v>
      </c>
      <c r="D9" s="4">
        <f>IFERROR(AVERAGE(Состояния_и_ошибки!$K$5:$K$204),0)</f>
        <v>1</v>
      </c>
      <c r="E9" s="2" t="str">
        <f>IF(D9&gt;=0.85,"Норма",IF(D9&gt;=0.6,"Требует проверки","Проблема"))</f>
        <v>Норма</v>
      </c>
      <c r="F9" s="2" t="s">
        <v>214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7">
      <c r="A10" s="2" t="s">
        <v>215</v>
      </c>
      <c r="B10" s="2" t="s">
        <v>216</v>
      </c>
      <c r="C10" s="2" t="s">
        <v>217</v>
      </c>
      <c r="D10" s="2">
        <f>SUMPRODUCT(--(Страницы_и_экраны!$A$5:$A$304&lt;&gt;""),--(Страницы_и_экраны!$P$5:$P$304&lt;&gt;""),--(Страницы_и_экраны!$P$5:$P$304&lt;&gt;"Не связана напрямую"))</f>
        <v>13</v>
      </c>
      <c r="E10" s="2" t="str">
        <f>IF(D10&gt;=1,"Норма","Требует проверки")</f>
        <v>Норма</v>
      </c>
      <c r="F10" s="2" t="s">
        <v>218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7">
      <c r="A11" s="2" t="s">
        <v>219</v>
      </c>
      <c r="B11" s="2" t="s">
        <v>220</v>
      </c>
      <c r="C11" s="2" t="s">
        <v>221</v>
      </c>
      <c r="D11" s="4">
        <f>IFERROR(SUMPRODUCT(--(Страницы_и_экраны!$A$5:$A$304&lt;&gt;""),--(Страницы_и_экраны!$J$5:$J$304&lt;&gt;""))/SUMPRODUCT(--(Страницы_и_экраны!$A$5:$A$304&lt;&gt;"")),0)</f>
        <v>1</v>
      </c>
      <c r="E11" s="2" t="str">
        <f>IF(D11&gt;=0.8,"Норма",IF(D11&gt;=0.6,"Требует проверки","Проблема"))</f>
        <v>Норма</v>
      </c>
      <c r="F11" s="2" t="s">
        <v>222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F1"/>
    <mergeCell ref="A2:F2"/>
  </mergeCells>
  <conditionalFormatting sqref="E5:E11">
    <cfRule type="expression" dxfId="2" priority="1">
      <formula>E5="Проблема"</formula>
    </cfRule>
    <cfRule type="expression" dxfId="1" priority="2">
      <formula>E5="Требует проверки"</formula>
    </cfRule>
    <cfRule type="expression" dxfId="0" priority="3">
      <formula>E5="Норма"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305"/>
  <sheetViews>
    <sheetView workbookViewId="0"/>
  </sheetViews>
  <sheetFormatPr defaultRowHeight="13.5"/>
  <cols>
    <col min="1" max="1" width="38" customWidth="1"/>
    <col min="2" max="2" width="18" customWidth="1"/>
    <col min="3" max="3" width="58" customWidth="1"/>
  </cols>
  <sheetData>
    <row r="1" spans="1:21" ht="16.05" customHeight="1">
      <c r="A1" s="6" t="s">
        <v>223</v>
      </c>
      <c r="B1" s="6"/>
      <c r="C1" s="6"/>
      <c r="D1" s="6"/>
      <c r="E1" s="6"/>
      <c r="F1" s="6"/>
      <c r="G1" s="6"/>
      <c r="H1" s="6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05" customHeight="1">
      <c r="A2" s="7" t="s">
        <v>224</v>
      </c>
      <c r="B2" s="7"/>
      <c r="C2" s="7"/>
      <c r="D2" s="7"/>
      <c r="E2" s="7"/>
      <c r="F2" s="7"/>
      <c r="G2" s="7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05" customHeight="1">
      <c r="A4" s="3" t="s">
        <v>225</v>
      </c>
      <c r="B4" s="3" t="s">
        <v>226</v>
      </c>
      <c r="C4" s="3" t="s">
        <v>227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3.9">
      <c r="A5" s="1" t="s">
        <v>228</v>
      </c>
      <c r="B5" s="4">
        <f>SUMPRODUCT(--(Пользовательские_сценарии!$A$5:$A$304&lt;&gt;""))</f>
        <v>10</v>
      </c>
      <c r="C5" s="2" t="s">
        <v>229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7.75">
      <c r="A6" s="1" t="s">
        <v>230</v>
      </c>
      <c r="B6" s="4">
        <f>IFERROR(COUNTIF(Пользовательские_сценарии!$N$5:$N$304,"Покрыт")/SUMPRODUCT(--(Пользовательские_сценарии!$A$5:$A$304&lt;&gt;"")),0)</f>
        <v>1</v>
      </c>
      <c r="C6" s="2" t="s">
        <v>231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13.9">
      <c r="A7" s="1" t="s">
        <v>232</v>
      </c>
      <c r="B7" s="4">
        <f>SUMPRODUCT(--(Страницы_и_экраны!$A$5:$A$304&lt;&gt;""))</f>
        <v>13</v>
      </c>
      <c r="C7" s="2" t="s">
        <v>233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7.75">
      <c r="A8" s="1" t="s">
        <v>234</v>
      </c>
      <c r="B8" s="4">
        <f>IFERROR(AVERAGE(Страницы_и_экраны!$T$5:$T$304),0)</f>
        <v>1</v>
      </c>
      <c r="C8" s="2" t="s">
        <v>235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13.9">
      <c r="A9" s="1" t="s">
        <v>206</v>
      </c>
      <c r="B9" s="2">
        <f>IFERROR(AVERAGE(Паспорт_экрана!$N$5:$N$304),0)</f>
        <v>1</v>
      </c>
      <c r="C9" s="2" t="s">
        <v>236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7">
      <c r="A10" s="1" t="s">
        <v>213</v>
      </c>
      <c r="B10" s="2">
        <f>IFERROR(AVERAGE(Состояния_и_ошибки!$K$5:$K$204),0)</f>
        <v>1</v>
      </c>
      <c r="C10" s="2" t="s">
        <v>237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13.9">
      <c r="A11" s="1" t="s">
        <v>238</v>
      </c>
      <c r="B11" s="2">
        <f>COUNTIF(Приоритизация!$J$5:$J$304,"P1 — первая версия")</f>
        <v>3</v>
      </c>
      <c r="C11" s="2" t="s">
        <v>239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3.9">
      <c r="A12" s="1" t="s">
        <v>240</v>
      </c>
      <c r="B12" s="4">
        <f>ROUND(AVERAGE(B6,B8,B9,B10),2)</f>
        <v>1</v>
      </c>
      <c r="C12" s="2" t="s">
        <v>241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13.9">
      <c r="A14" s="3" t="s">
        <v>242</v>
      </c>
      <c r="B14" s="3" t="s">
        <v>243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 t="s">
        <v>196</v>
      </c>
      <c r="B15" s="4">
        <f>B6</f>
        <v>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 t="s">
        <v>244</v>
      </c>
      <c r="B16" s="4">
        <f>B8</f>
        <v>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 t="s">
        <v>245</v>
      </c>
      <c r="B17" s="4">
        <f>B9</f>
        <v>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 t="s">
        <v>98</v>
      </c>
      <c r="B18" s="4">
        <f>B10</f>
        <v>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305"/>
  <sheetViews>
    <sheetView workbookViewId="0">
      <selection sqref="A1:H1"/>
    </sheetView>
  </sheetViews>
  <sheetFormatPr defaultRowHeight="13.5"/>
  <cols>
    <col min="1" max="12" width="28" customWidth="1"/>
  </cols>
  <sheetData>
    <row r="1" spans="1:21" ht="16.05" customHeight="1">
      <c r="A1" s="6" t="s">
        <v>246</v>
      </c>
      <c r="B1" s="6"/>
      <c r="C1" s="6"/>
      <c r="D1" s="6"/>
      <c r="E1" s="6"/>
      <c r="F1" s="6"/>
      <c r="G1" s="6"/>
      <c r="H1" s="6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0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3.9">
      <c r="A3" s="5" t="s">
        <v>35</v>
      </c>
      <c r="B3" s="5" t="s">
        <v>71</v>
      </c>
      <c r="C3" s="5" t="s">
        <v>247</v>
      </c>
      <c r="D3" s="5" t="s">
        <v>121</v>
      </c>
      <c r="E3" s="5" t="s">
        <v>122</v>
      </c>
      <c r="F3" s="5" t="s">
        <v>103</v>
      </c>
      <c r="G3" s="5" t="s">
        <v>248</v>
      </c>
      <c r="H3" s="5" t="s">
        <v>106</v>
      </c>
      <c r="I3" s="5" t="s">
        <v>63</v>
      </c>
      <c r="J3" s="5" t="s">
        <v>249</v>
      </c>
      <c r="K3" s="5" t="s">
        <v>140</v>
      </c>
      <c r="L3" s="5" t="s">
        <v>250</v>
      </c>
      <c r="M3" s="2"/>
      <c r="N3" s="2"/>
      <c r="O3" s="2"/>
      <c r="P3" s="2"/>
      <c r="Q3" s="2"/>
      <c r="R3" s="2"/>
      <c r="S3" s="2"/>
      <c r="T3" s="2"/>
      <c r="U3" s="2"/>
    </row>
    <row r="4" spans="1:21" ht="19.05" customHeight="1">
      <c r="A4" s="2" t="s">
        <v>251</v>
      </c>
      <c r="B4" s="2" t="s">
        <v>252</v>
      </c>
      <c r="C4" s="2" t="s">
        <v>108</v>
      </c>
      <c r="D4" s="2" t="s">
        <v>128</v>
      </c>
      <c r="E4" s="2" t="s">
        <v>129</v>
      </c>
      <c r="F4" s="2" t="s">
        <v>253</v>
      </c>
      <c r="G4" s="2" t="s">
        <v>254</v>
      </c>
      <c r="H4" s="2" t="s">
        <v>113</v>
      </c>
      <c r="I4" s="2" t="s">
        <v>65</v>
      </c>
      <c r="J4" s="2" t="s">
        <v>255</v>
      </c>
      <c r="K4" s="2" t="s">
        <v>143</v>
      </c>
      <c r="L4" s="2" t="s">
        <v>256</v>
      </c>
      <c r="M4" s="2"/>
      <c r="N4" s="2"/>
      <c r="O4" s="2"/>
      <c r="P4" s="2"/>
      <c r="Q4" s="2"/>
      <c r="R4" s="2"/>
      <c r="S4" s="2"/>
      <c r="T4" s="2"/>
      <c r="U4" s="2"/>
    </row>
    <row r="5" spans="1:21">
      <c r="A5" s="2" t="s">
        <v>46</v>
      </c>
      <c r="B5" s="2" t="s">
        <v>84</v>
      </c>
      <c r="C5" s="2" t="s">
        <v>115</v>
      </c>
      <c r="D5" s="2" t="s">
        <v>257</v>
      </c>
      <c r="E5" s="2" t="s">
        <v>258</v>
      </c>
      <c r="F5" s="2" t="s">
        <v>112</v>
      </c>
      <c r="G5" s="2" t="s">
        <v>110</v>
      </c>
      <c r="H5" s="2" t="s">
        <v>259</v>
      </c>
      <c r="I5" s="2" t="s">
        <v>67</v>
      </c>
      <c r="J5" s="2" t="s">
        <v>111</v>
      </c>
      <c r="K5" s="2" t="s">
        <v>260</v>
      </c>
      <c r="L5" s="2" t="s">
        <v>261</v>
      </c>
      <c r="M5" s="2"/>
      <c r="N5" s="2"/>
      <c r="O5" s="2"/>
      <c r="P5" s="2"/>
      <c r="Q5" s="2"/>
      <c r="R5" s="2"/>
      <c r="S5" s="2"/>
      <c r="T5" s="2"/>
      <c r="U5" s="2"/>
    </row>
    <row r="6" spans="1:21">
      <c r="A6" s="2" t="s">
        <v>50</v>
      </c>
      <c r="B6" s="2" t="s">
        <v>262</v>
      </c>
      <c r="C6" s="2" t="s">
        <v>263</v>
      </c>
      <c r="D6" s="2" t="s">
        <v>264</v>
      </c>
      <c r="E6" s="2" t="s">
        <v>265</v>
      </c>
      <c r="F6" s="2" t="s">
        <v>117</v>
      </c>
      <c r="G6" s="2" t="s">
        <v>266</v>
      </c>
      <c r="H6" s="2" t="s">
        <v>267</v>
      </c>
      <c r="I6" s="2" t="s">
        <v>268</v>
      </c>
      <c r="J6" s="2" t="s">
        <v>116</v>
      </c>
      <c r="K6" s="2" t="s">
        <v>269</v>
      </c>
      <c r="L6" s="2" t="s">
        <v>270</v>
      </c>
      <c r="M6" s="2"/>
      <c r="N6" s="2"/>
      <c r="O6" s="2"/>
      <c r="P6" s="2"/>
      <c r="Q6" s="2"/>
      <c r="R6" s="2"/>
      <c r="S6" s="2"/>
      <c r="T6" s="2"/>
      <c r="U6" s="2"/>
    </row>
    <row r="7" spans="1:21">
      <c r="A7" s="2" t="s">
        <v>271</v>
      </c>
      <c r="B7" s="2" t="s">
        <v>86</v>
      </c>
      <c r="C7" s="2" t="s">
        <v>272</v>
      </c>
      <c r="D7" s="2" t="s">
        <v>273</v>
      </c>
      <c r="E7" s="2" t="s">
        <v>274</v>
      </c>
      <c r="F7" s="2" t="s">
        <v>275</v>
      </c>
      <c r="G7" s="2"/>
      <c r="H7" s="2" t="s">
        <v>276</v>
      </c>
      <c r="I7" s="2" t="s">
        <v>277</v>
      </c>
      <c r="J7" s="2" t="s">
        <v>278</v>
      </c>
      <c r="K7" s="2" t="s">
        <v>279</v>
      </c>
      <c r="L7" s="2" t="s">
        <v>280</v>
      </c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168</v>
      </c>
      <c r="B8" s="2" t="s">
        <v>281</v>
      </c>
      <c r="C8" s="2" t="s">
        <v>169</v>
      </c>
      <c r="D8" s="2" t="s">
        <v>282</v>
      </c>
      <c r="E8" s="2" t="s">
        <v>283</v>
      </c>
      <c r="F8" s="2" t="s">
        <v>284</v>
      </c>
      <c r="G8" s="2"/>
      <c r="H8" s="2" t="s">
        <v>283</v>
      </c>
      <c r="I8" s="2" t="s">
        <v>285</v>
      </c>
      <c r="J8" s="2" t="s">
        <v>286</v>
      </c>
      <c r="K8" s="2" t="s">
        <v>287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 t="s">
        <v>288</v>
      </c>
      <c r="B9" s="2" t="s">
        <v>289</v>
      </c>
      <c r="C9" s="2" t="s">
        <v>290</v>
      </c>
      <c r="D9" s="2" t="s">
        <v>291</v>
      </c>
      <c r="E9" s="2"/>
      <c r="F9" s="2" t="s">
        <v>292</v>
      </c>
      <c r="G9" s="2"/>
      <c r="H9" s="2" t="s">
        <v>293</v>
      </c>
      <c r="I9" s="2" t="s">
        <v>294</v>
      </c>
      <c r="J9" s="2" t="s">
        <v>295</v>
      </c>
      <c r="K9" s="2" t="s">
        <v>296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297</v>
      </c>
      <c r="B10" s="2" t="s">
        <v>298</v>
      </c>
      <c r="C10" s="2" t="s">
        <v>299</v>
      </c>
      <c r="D10" s="2"/>
      <c r="E10" s="2"/>
      <c r="F10" s="2"/>
      <c r="G10" s="2"/>
      <c r="H10" s="2"/>
      <c r="I10" s="2" t="s">
        <v>300</v>
      </c>
      <c r="J10" s="2"/>
      <c r="K10" s="2" t="s">
        <v>301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 t="s">
        <v>302</v>
      </c>
      <c r="B11" s="2" t="s">
        <v>303</v>
      </c>
      <c r="C11" s="2"/>
      <c r="D11" s="2"/>
      <c r="E11" s="2"/>
      <c r="F11" s="2"/>
      <c r="G11" s="2"/>
      <c r="H11" s="2"/>
      <c r="I11" s="2" t="s">
        <v>304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/>
      <c r="B12" s="2" t="s">
        <v>305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 t="s">
        <v>306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1"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E98F-8AD1-4ED6-ADB4-2F5ABACB94B3}">
  <dimension ref="A1:C10"/>
  <sheetViews>
    <sheetView workbookViewId="0"/>
  </sheetViews>
  <sheetFormatPr defaultRowHeight="12.75"/>
  <cols>
    <col min="1" max="1" width="22.5625" style="8" customWidth="1"/>
    <col min="2" max="2" width="8.5625" style="8" customWidth="1"/>
    <col min="3" max="3" width="150.5625" style="8" customWidth="1"/>
    <col min="4" max="16384" width="9" style="8"/>
  </cols>
  <sheetData>
    <row r="1" spans="1:3" ht="15">
      <c r="A1" s="9" t="s">
        <v>795</v>
      </c>
    </row>
    <row r="3" spans="1:3" ht="13.15">
      <c r="A3" s="10" t="s">
        <v>796</v>
      </c>
      <c r="B3" s="10" t="s">
        <v>797</v>
      </c>
      <c r="C3" s="10" t="s">
        <v>798</v>
      </c>
    </row>
    <row r="4" spans="1:3">
      <c r="A4" s="11" t="s">
        <v>799</v>
      </c>
      <c r="B4" s="11" t="s">
        <v>800</v>
      </c>
      <c r="C4" s="11" t="s">
        <v>801</v>
      </c>
    </row>
    <row r="5" spans="1:3" ht="25.5">
      <c r="A5" s="11" t="s">
        <v>802</v>
      </c>
      <c r="B5" s="11" t="s">
        <v>803</v>
      </c>
      <c r="C5" s="11" t="s">
        <v>804</v>
      </c>
    </row>
    <row r="6" spans="1:3">
      <c r="A6" s="11" t="s">
        <v>245</v>
      </c>
      <c r="B6" s="11" t="s">
        <v>805</v>
      </c>
      <c r="C6" s="11" t="s">
        <v>806</v>
      </c>
    </row>
    <row r="7" spans="1:3">
      <c r="A7" s="11" t="s">
        <v>98</v>
      </c>
      <c r="B7" s="11" t="s">
        <v>807</v>
      </c>
      <c r="C7" s="11" t="s">
        <v>808</v>
      </c>
    </row>
    <row r="8" spans="1:3" ht="25.5">
      <c r="A8" s="11" t="s">
        <v>809</v>
      </c>
      <c r="B8" s="11" t="s">
        <v>810</v>
      </c>
      <c r="C8" s="11" t="s">
        <v>811</v>
      </c>
    </row>
    <row r="9" spans="1:3">
      <c r="A9" s="11" t="s">
        <v>809</v>
      </c>
      <c r="B9" s="11" t="s">
        <v>812</v>
      </c>
      <c r="C9" s="11" t="s">
        <v>813</v>
      </c>
    </row>
    <row r="10" spans="1:3">
      <c r="A10" s="11" t="s">
        <v>814</v>
      </c>
      <c r="B10" s="11" t="s">
        <v>815</v>
      </c>
      <c r="C10" s="11" t="s">
        <v>816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Инструкция</vt:lpstr>
      <vt:lpstr>Банк_выводов</vt:lpstr>
      <vt:lpstr>Роли_и_сегменты</vt:lpstr>
      <vt:lpstr>Пользовательские_сценарии</vt:lpstr>
      <vt:lpstr>Страницы_и_экраны</vt:lpstr>
      <vt:lpstr>Матрица_сценарий_интерфейс</vt:lpstr>
      <vt:lpstr>Навигация_и_карта</vt:lpstr>
      <vt:lpstr>Состояния_и_ошибки</vt:lpstr>
      <vt:lpstr>Контент_и_данные</vt:lpstr>
      <vt:lpstr>Паспорт_экрана</vt:lpstr>
      <vt:lpstr>Приоритизация</vt:lpstr>
      <vt:lpstr>Проверка_связности</vt:lpstr>
      <vt:lpstr>Дашборд</vt:lpstr>
      <vt:lpstr>Справочники</vt:lpstr>
      <vt:lpstr>Журнал_6_4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Страницы и экраны NotaCode</dc:title>
  <dc:creator>К. А. Хаджинова</dc:creator>
  <dc:description/>
  <cp:lastModifiedBy>К. А. Хаджинова</cp:lastModifiedBy>
  <dcterms:modified xsi:type="dcterms:W3CDTF">2026-10-01T22:00:52Z</dcterms:modified>
</cp:coreProperties>
</file>